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8A8073C1-DE14-4D83-B165-C50C97225A07}" xr6:coauthVersionLast="47" xr6:coauthVersionMax="47" xr10:uidLastSave="{00000000-0000-0000-0000-000000000000}"/>
  <bookViews>
    <workbookView xWindow="2148" yWindow="792" windowWidth="19128" windowHeight="10932" activeTab="2" xr2:uid="{FA126AD3-B60A-4F95-87F6-CBA31EFEBD20}"/>
  </bookViews>
  <sheets>
    <sheet name="direct obs" sheetId="2" r:id="rId1"/>
    <sheet name="video surveys" sheetId="1" r:id="rId2"/>
    <sheet name="camera trap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0" i="3" l="1"/>
  <c r="G31" i="3"/>
  <c r="J27" i="3"/>
  <c r="G27" i="3"/>
  <c r="G61" i="3"/>
  <c r="G64" i="3"/>
  <c r="G65" i="3"/>
  <c r="G56" i="3"/>
  <c r="G55" i="3"/>
  <c r="G54" i="3"/>
  <c r="G46" i="3"/>
  <c r="G47" i="3"/>
  <c r="G49" i="3"/>
  <c r="G43" i="3"/>
  <c r="G42" i="3"/>
  <c r="G41" i="3"/>
  <c r="G38" i="3"/>
  <c r="G37" i="3"/>
  <c r="G36" i="3"/>
  <c r="G29" i="3"/>
  <c r="G28" i="3"/>
  <c r="G23" i="3"/>
  <c r="G24" i="3"/>
  <c r="G25" i="3"/>
  <c r="G26" i="3"/>
  <c r="G22" i="3"/>
  <c r="G21" i="3"/>
  <c r="G12" i="3"/>
  <c r="G13" i="3"/>
  <c r="G14" i="3"/>
  <c r="G15" i="3"/>
  <c r="G16" i="3"/>
  <c r="G17" i="3"/>
  <c r="G18" i="3"/>
  <c r="G19" i="3"/>
  <c r="G20" i="3"/>
  <c r="G10" i="3"/>
  <c r="G11" i="3"/>
  <c r="G9" i="3"/>
  <c r="M49" i="2"/>
  <c r="J49" i="2"/>
  <c r="M48" i="2"/>
  <c r="J48" i="2"/>
  <c r="J42" i="3"/>
  <c r="J40" i="3"/>
  <c r="J43" i="3"/>
  <c r="J44" i="3"/>
  <c r="J45" i="3"/>
  <c r="J46" i="3"/>
  <c r="J49" i="3"/>
  <c r="J47" i="3"/>
  <c r="J48" i="3"/>
  <c r="J36" i="3"/>
  <c r="J37" i="3"/>
  <c r="J38" i="3"/>
  <c r="J51" i="3"/>
  <c r="J52" i="3"/>
  <c r="J53" i="3"/>
  <c r="J55" i="3"/>
  <c r="J56" i="3"/>
  <c r="J57" i="3"/>
  <c r="J58" i="3"/>
  <c r="J59" i="3"/>
  <c r="J60" i="3"/>
  <c r="J61" i="3"/>
  <c r="J62" i="3"/>
  <c r="J63" i="3"/>
  <c r="J64" i="3"/>
  <c r="J39" i="3"/>
  <c r="J50" i="3"/>
  <c r="J65" i="3"/>
  <c r="J4" i="3"/>
  <c r="J5" i="3"/>
  <c r="J6" i="3"/>
  <c r="J7" i="3"/>
  <c r="J8" i="3"/>
  <c r="J9" i="3"/>
  <c r="J10" i="3"/>
  <c r="J11" i="3"/>
  <c r="J12" i="3"/>
  <c r="J13" i="3"/>
  <c r="J14" i="3"/>
  <c r="J15" i="3"/>
  <c r="J16" i="3"/>
  <c r="J17" i="3"/>
  <c r="J18" i="3"/>
  <c r="J19" i="3"/>
  <c r="J20" i="3"/>
  <c r="J21" i="3"/>
  <c r="J22" i="3"/>
  <c r="J23" i="3"/>
  <c r="J24" i="3"/>
  <c r="J25" i="3"/>
  <c r="J26" i="3"/>
  <c r="J28" i="3"/>
  <c r="J29" i="3"/>
  <c r="J30" i="3"/>
  <c r="J31" i="3"/>
  <c r="J32" i="3"/>
  <c r="J33" i="3"/>
  <c r="J34" i="3"/>
  <c r="J35" i="3"/>
  <c r="J41" i="3"/>
  <c r="H62" i="1"/>
  <c r="H68" i="1"/>
  <c r="H61" i="1"/>
  <c r="H58" i="1"/>
  <c r="I56" i="1"/>
  <c r="I57" i="1"/>
  <c r="H57" i="1"/>
  <c r="H56" i="1"/>
  <c r="I55" i="1"/>
  <c r="I66" i="1"/>
  <c r="H55" i="1"/>
  <c r="H66" i="1"/>
  <c r="H63" i="1"/>
  <c r="H54" i="1"/>
  <c r="H52" i="1"/>
  <c r="H65" i="1"/>
  <c r="H13" i="1"/>
  <c r="I13" i="1"/>
  <c r="H60" i="1"/>
  <c r="I53" i="1"/>
  <c r="I59" i="1"/>
  <c r="H67" i="1"/>
  <c r="H59" i="1"/>
  <c r="H53" i="1"/>
  <c r="M30" i="2"/>
  <c r="M31" i="2"/>
  <c r="M64" i="2"/>
  <c r="J55" i="2"/>
  <c r="J56" i="2"/>
  <c r="J64" i="2"/>
  <c r="J9" i="2"/>
  <c r="J31" i="2"/>
  <c r="J8" i="2"/>
  <c r="J30" i="2"/>
  <c r="J20" i="2"/>
  <c r="J10" i="2"/>
  <c r="J18" i="2"/>
  <c r="J19" i="2"/>
  <c r="J21" i="2"/>
  <c r="J11" i="2"/>
  <c r="J12" i="2"/>
  <c r="J22" i="2"/>
  <c r="J15" i="2"/>
  <c r="J16" i="2"/>
  <c r="J23" i="2"/>
  <c r="J17" i="2"/>
  <c r="J24" i="2"/>
  <c r="J25" i="2"/>
  <c r="J57" i="2"/>
  <c r="J58" i="2"/>
  <c r="J59" i="2"/>
  <c r="J6" i="2"/>
  <c r="J7" i="2"/>
  <c r="M26" i="2" l="1"/>
  <c r="M27" i="2"/>
  <c r="M65" i="2"/>
  <c r="M11" i="2"/>
  <c r="M12" i="2"/>
  <c r="M22" i="2"/>
  <c r="M13" i="2"/>
  <c r="M14" i="2"/>
  <c r="M15" i="2"/>
  <c r="M16" i="2"/>
  <c r="M23" i="2"/>
  <c r="M17" i="2"/>
  <c r="M24" i="2"/>
  <c r="M25" i="2"/>
  <c r="M7" i="2"/>
  <c r="Z29" i="2"/>
  <c r="X29" i="2"/>
  <c r="V29" i="2"/>
  <c r="J29" i="2"/>
  <c r="K7" i="2"/>
  <c r="Q6" i="2"/>
  <c r="K6" i="2"/>
  <c r="X28" i="2"/>
  <c r="J28" i="2"/>
  <c r="Q59" i="2"/>
  <c r="M59" i="2" s="1"/>
  <c r="J65" i="2"/>
  <c r="Q58" i="2"/>
  <c r="Q57" i="2"/>
  <c r="M57" i="2" s="1"/>
  <c r="X36" i="2"/>
  <c r="M36" i="2" s="1"/>
  <c r="J36" i="2"/>
  <c r="X41" i="2"/>
  <c r="M41" i="2" s="1"/>
  <c r="J41" i="2"/>
  <c r="X35" i="2"/>
  <c r="M35" i="2" s="1"/>
  <c r="J35" i="2"/>
  <c r="X34" i="2"/>
  <c r="M34" i="2" s="1"/>
  <c r="X33" i="2"/>
  <c r="M33" i="2" s="1"/>
  <c r="J34" i="2"/>
  <c r="H14" i="2"/>
  <c r="J14" i="2" s="1"/>
  <c r="H13" i="2"/>
  <c r="X40" i="2"/>
  <c r="M40" i="2" s="1"/>
  <c r="J40" i="2"/>
  <c r="X39" i="2"/>
  <c r="M39" i="2" s="1"/>
  <c r="J39" i="2"/>
  <c r="M20" i="2"/>
  <c r="M10" i="2"/>
  <c r="M18" i="2"/>
  <c r="M19" i="2"/>
  <c r="M21" i="2"/>
  <c r="J33" i="2"/>
  <c r="X32" i="2"/>
  <c r="M32" i="2" s="1"/>
  <c r="J32" i="2"/>
  <c r="X38" i="2"/>
  <c r="M38" i="2" s="1"/>
  <c r="J38" i="2"/>
  <c r="Y37" i="2"/>
  <c r="X37" i="2"/>
  <c r="J37" i="2"/>
  <c r="M5" i="2"/>
  <c r="J5" i="2"/>
  <c r="J27" i="2"/>
  <c r="M4" i="2"/>
  <c r="J4" i="2"/>
  <c r="J26" i="2"/>
  <c r="H47" i="1"/>
  <c r="I46" i="1"/>
  <c r="H46" i="1"/>
  <c r="I45" i="1"/>
  <c r="H45" i="1"/>
  <c r="H64" i="1"/>
  <c r="I44" i="1"/>
  <c r="I64" i="1"/>
  <c r="H44" i="1"/>
  <c r="H43" i="1"/>
  <c r="H42" i="1"/>
  <c r="H41" i="1"/>
  <c r="H40" i="1"/>
  <c r="H39" i="1"/>
  <c r="M28" i="2" l="1"/>
  <c r="M6" i="2"/>
  <c r="M58" i="2"/>
  <c r="J13" i="2"/>
  <c r="M29" i="2"/>
  <c r="M37" i="2"/>
  <c r="F53" i="3"/>
  <c r="G53" i="3" s="1"/>
  <c r="F52" i="3"/>
  <c r="G52" i="3" s="1"/>
  <c r="F40" i="3"/>
  <c r="G40" i="3" s="1"/>
  <c r="F62" i="3"/>
  <c r="G62" i="3" s="1"/>
  <c r="F60" i="3"/>
  <c r="G60" i="3" s="1"/>
  <c r="F45" i="3"/>
  <c r="G45" i="3" s="1"/>
  <c r="F39" i="3"/>
  <c r="F44" i="3"/>
  <c r="G44" i="3" s="1"/>
  <c r="F51" i="3"/>
  <c r="G51" i="3" s="1"/>
  <c r="F63" i="3"/>
  <c r="G63" i="3" s="1"/>
  <c r="F48" i="3"/>
  <c r="G48" i="3" s="1"/>
  <c r="F35" i="3"/>
  <c r="G35" i="3" s="1"/>
  <c r="F34" i="3"/>
  <c r="G34" i="3" s="1"/>
  <c r="F33" i="3"/>
  <c r="G33" i="3" s="1"/>
  <c r="F32" i="3"/>
  <c r="F59" i="3"/>
  <c r="G59" i="3" s="1"/>
  <c r="F58" i="3"/>
  <c r="G58" i="3" s="1"/>
  <c r="F57" i="3"/>
  <c r="F50" i="3"/>
  <c r="G50" i="3" s="1"/>
  <c r="H38" i="1"/>
  <c r="I51" i="1"/>
  <c r="I38" i="1"/>
  <c r="I39" i="1"/>
  <c r="I41" i="1"/>
  <c r="I42" i="1"/>
  <c r="I43" i="1"/>
  <c r="I33" i="1"/>
  <c r="I34" i="1"/>
  <c r="I35" i="1"/>
  <c r="I36" i="1"/>
  <c r="I48" i="1"/>
  <c r="I49" i="1"/>
  <c r="I37" i="1"/>
  <c r="I50" i="1"/>
  <c r="H51" i="1"/>
  <c r="H48" i="1"/>
  <c r="H49" i="1"/>
  <c r="H37" i="1"/>
  <c r="H50" i="1"/>
  <c r="M43" i="2"/>
  <c r="M44" i="2"/>
  <c r="M45" i="2"/>
  <c r="M46" i="2"/>
  <c r="M47" i="2"/>
  <c r="M50" i="2"/>
  <c r="M51" i="2"/>
  <c r="M52" i="2"/>
  <c r="M53" i="2"/>
  <c r="M54" i="2"/>
  <c r="M60" i="2"/>
  <c r="M61" i="2"/>
  <c r="M62" i="2"/>
  <c r="M63" i="2"/>
  <c r="M42" i="2"/>
  <c r="I5" i="1"/>
  <c r="I12" i="1"/>
  <c r="I15" i="1"/>
  <c r="I27" i="1"/>
  <c r="I28" i="1"/>
  <c r="I29" i="1"/>
  <c r="I14" i="1"/>
  <c r="I6" i="1"/>
  <c r="I7" i="1"/>
  <c r="I8" i="1"/>
  <c r="I9" i="1"/>
  <c r="I16" i="1"/>
  <c r="I20" i="1"/>
  <c r="I21" i="1"/>
  <c r="I19" i="1"/>
  <c r="I22" i="1"/>
  <c r="I30" i="1"/>
  <c r="I31" i="1"/>
  <c r="I17" i="1"/>
  <c r="I18" i="1"/>
  <c r="I10" i="1"/>
  <c r="I11" i="1"/>
  <c r="I23" i="1"/>
  <c r="I24" i="1"/>
  <c r="I25" i="1"/>
  <c r="I26" i="1"/>
  <c r="I32" i="1"/>
  <c r="I4" i="1"/>
  <c r="H36" i="1"/>
  <c r="H35" i="1"/>
  <c r="H34" i="1"/>
  <c r="H33" i="1"/>
  <c r="H32" i="1"/>
  <c r="H26" i="1"/>
  <c r="H25" i="1"/>
  <c r="H24" i="1"/>
  <c r="H23" i="1"/>
  <c r="H11" i="1"/>
  <c r="H10" i="1"/>
  <c r="H18" i="1"/>
  <c r="H17" i="1"/>
  <c r="H31" i="1"/>
  <c r="H30" i="1"/>
  <c r="H22" i="1"/>
  <c r="H19" i="1"/>
  <c r="H21" i="1"/>
  <c r="H20" i="1"/>
  <c r="H16" i="1"/>
  <c r="H9" i="1"/>
  <c r="H8" i="1"/>
  <c r="H7" i="1"/>
  <c r="H6" i="1"/>
  <c r="H14" i="1"/>
  <c r="H29" i="1"/>
  <c r="H28" i="1"/>
  <c r="H27" i="1"/>
  <c r="H15" i="1"/>
  <c r="H12" i="1"/>
  <c r="H5" i="1"/>
  <c r="H4" i="1"/>
  <c r="J63" i="2"/>
  <c r="J62" i="2"/>
  <c r="J61" i="2"/>
  <c r="J60" i="2"/>
  <c r="J54" i="2"/>
  <c r="J53" i="2"/>
  <c r="J52" i="2"/>
  <c r="J51" i="2"/>
  <c r="J50" i="2"/>
  <c r="J47" i="2"/>
  <c r="J46" i="2"/>
  <c r="J45" i="2"/>
  <c r="J44" i="2"/>
  <c r="J43" i="2"/>
  <c r="J42" i="2"/>
  <c r="G39" i="3" l="1"/>
  <c r="G57" i="3"/>
  <c r="G3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Stan Wawrzyczek</author>
  </authors>
  <commentList>
    <comment ref="U23" authorId="0" shapeId="0" xr:uid="{CD67A714-0A64-46B8-A870-40FBAD921BE0}">
      <text>
        <r>
          <rPr>
            <b/>
            <sz val="9"/>
            <color indexed="81"/>
            <rFont val="Tahoma"/>
            <family val="2"/>
          </rPr>
          <t>Stan Wawrzyczek:</t>
        </r>
        <r>
          <rPr>
            <sz val="9"/>
            <color indexed="81"/>
            <rFont val="Tahoma"/>
            <family val="2"/>
          </rPr>
          <t xml:space="preserve">
sic! feeding during the day</t>
        </r>
      </text>
    </comment>
    <comment ref="A31" authorId="0" shapeId="0" xr:uid="{0402EBCA-B881-4305-9A47-DD64FB9268B1}">
      <text>
        <r>
          <rPr>
            <b/>
            <sz val="9"/>
            <color indexed="81"/>
            <rFont val="Tahoma"/>
            <family val="2"/>
          </rPr>
          <t>Stan Wawrzyczek:</t>
        </r>
        <r>
          <rPr>
            <sz val="9"/>
            <color indexed="81"/>
            <rFont val="Tahoma"/>
            <family val="2"/>
          </rPr>
          <t xml:space="preserve">
This site was burnt by DBCA in following spring, henceforth all surveys north of bibby Rd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Stan Wawrzyczek</author>
  </authors>
  <commentList>
    <comment ref="B3" authorId="0" shapeId="0" xr:uid="{3A628ACC-5C14-47E1-8EFE-6B9594B3D7C1}">
      <text>
        <r>
          <rPr>
            <b/>
            <sz val="9"/>
            <color indexed="81"/>
            <rFont val="Tahoma"/>
            <family val="2"/>
          </rPr>
          <t>Stan Wawrzyczek:</t>
        </r>
        <r>
          <rPr>
            <sz val="9"/>
            <color indexed="81"/>
            <rFont val="Tahoma"/>
            <family val="2"/>
          </rPr>
          <t xml:space="preserve">
Files will be stored long term on SD cards </t>
        </r>
      </text>
    </comment>
    <comment ref="V34" authorId="0" shapeId="0" xr:uid="{ED0BDC3C-3024-48E6-833F-7CAA50048001}">
      <text>
        <r>
          <rPr>
            <b/>
            <sz val="9"/>
            <color indexed="81"/>
            <rFont val="Tahoma"/>
            <family val="2"/>
          </rPr>
          <t>Stan Wawrzyczek:</t>
        </r>
        <r>
          <rPr>
            <sz val="9"/>
            <color indexed="81"/>
            <rFont val="Tahoma"/>
            <family val="2"/>
          </rPr>
          <t xml:space="preserve">
some land on the unopened florets but don't visit open florets</t>
        </r>
      </text>
    </comment>
    <comment ref="F36" authorId="0" shapeId="0" xr:uid="{31FB3993-635E-423B-9EAC-6303659DCC3C}">
      <text>
        <r>
          <rPr>
            <b/>
            <sz val="9"/>
            <color indexed="81"/>
            <rFont val="Tahoma"/>
            <family val="2"/>
          </rPr>
          <t>Stan Wawrzyczek:</t>
        </r>
        <r>
          <rPr>
            <sz val="9"/>
            <color indexed="81"/>
            <rFont val="Tahoma"/>
            <family val="2"/>
          </rPr>
          <t xml:space="preserve">
excluding the one furthest back - too far to see what the insects are
</t>
        </r>
      </text>
    </comment>
    <comment ref="D50" authorId="0" shapeId="0" xr:uid="{C60B4778-7443-4384-903B-2FE63CF1347F}">
      <text>
        <r>
          <rPr>
            <b/>
            <sz val="9"/>
            <color indexed="81"/>
            <rFont val="Tahoma"/>
            <family val="2"/>
          </rPr>
          <t>Stan Wawrzyczek:</t>
        </r>
        <r>
          <rPr>
            <sz val="9"/>
            <color indexed="81"/>
            <rFont val="Tahoma"/>
            <family val="2"/>
          </rPr>
          <t xml:space="preserve">
in the video I say 10th but that was actually 9th of Jan</t>
        </r>
      </text>
    </comment>
    <comment ref="V53" authorId="0" shapeId="0" xr:uid="{0214BC69-E496-43EF-914F-EFB6F7DF19B2}">
      <text>
        <r>
          <rPr>
            <b/>
            <sz val="9"/>
            <color indexed="81"/>
            <rFont val="Tahoma"/>
            <family val="2"/>
          </rPr>
          <t>Stan Wawrzyczek:</t>
        </r>
        <r>
          <rPr>
            <sz val="9"/>
            <color indexed="81"/>
            <rFont val="Tahoma"/>
            <family val="2"/>
          </rPr>
          <t xml:space="preserve">
stays for a long time apparently feeding on stigmatic exudate 
</t>
        </r>
      </text>
    </comment>
    <comment ref="W63" authorId="0" shapeId="0" xr:uid="{4DC764C1-2EE8-4106-8258-E278C42484AA}">
      <text>
        <r>
          <rPr>
            <b/>
            <sz val="9"/>
            <color indexed="81"/>
            <rFont val="Tahoma"/>
            <family val="2"/>
          </rPr>
          <t>Stan Wawrzyczek:</t>
        </r>
        <r>
          <rPr>
            <sz val="9"/>
            <color indexed="81"/>
            <rFont val="Tahoma"/>
            <family val="2"/>
          </rPr>
          <t xml:space="preserve">
visit lasted 1 m, inserts head between florets as if reaching for nectar - there were small ants on the inflorescenes - maybe was eating them but could not see that.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Stan Wawrzyczek</author>
  </authors>
  <commentList>
    <comment ref="E3" authorId="0" shapeId="0" xr:uid="{D4296BBD-2091-441A-8BAE-F3353D48487B}">
      <text>
        <r>
          <rPr>
            <b/>
            <sz val="9"/>
            <color indexed="81"/>
            <rFont val="Tahoma"/>
            <family val="2"/>
          </rPr>
          <t>Stan Wawrzyczek:</t>
        </r>
        <r>
          <rPr>
            <sz val="9"/>
            <color indexed="81"/>
            <rFont val="Tahoma"/>
            <family val="2"/>
          </rPr>
          <t xml:space="preserve">
from the first to last photo for 24h (all cameras are triggered after setting up. and then either run out of batteries or are triggered when taken down) or from the beginning of the first scheduled period to the last photo. 
</t>
        </r>
      </text>
    </comment>
    <comment ref="E4" authorId="0" shapeId="0" xr:uid="{C129087D-C33B-49FF-A9AF-83273683ABB1}">
      <text>
        <r>
          <rPr>
            <b/>
            <sz val="9"/>
            <color indexed="81"/>
            <rFont val="Tahoma"/>
            <family val="2"/>
          </rPr>
          <t>Stan Wawrzyczek:</t>
        </r>
        <r>
          <rPr>
            <sz val="9"/>
            <color indexed="81"/>
            <rFont val="Tahoma"/>
            <family val="2"/>
          </rPr>
          <t xml:space="preserve">
From the opening of the first florets to the last photo taken before batteries flat. </t>
        </r>
      </text>
    </comment>
    <comment ref="N42" authorId="0" shapeId="0" xr:uid="{1D8FDC54-4593-49F0-81EF-0448106DA2DE}">
      <text>
        <r>
          <rPr>
            <b/>
            <sz val="9"/>
            <color indexed="81"/>
            <rFont val="Tahoma"/>
            <family val="2"/>
          </rPr>
          <t>Stan Wawrzyczek:</t>
        </r>
        <r>
          <rPr>
            <sz val="9"/>
            <color indexed="81"/>
            <rFont val="Tahoma"/>
            <family val="2"/>
          </rPr>
          <t xml:space="preserve">
78 to 9:20 am - i.e., 24h</t>
        </r>
      </text>
    </comment>
  </commentList>
</comments>
</file>

<file path=xl/sharedStrings.xml><?xml version="1.0" encoding="utf-8"?>
<sst xmlns="http://schemas.openxmlformats.org/spreadsheetml/2006/main" count="1063" uniqueCount="414">
  <si>
    <t xml:space="preserve">Video recordings of floral visitation to inflorescecnces. Insects apparently returning to the flowers after briefly (&lt; 60 s.) leaving the camera's field of view were not counted. </t>
  </si>
  <si>
    <t>If possible to ID to at least family level, create a new column</t>
  </si>
  <si>
    <t>Site</t>
  </si>
  <si>
    <t xml:space="preserve">date </t>
  </si>
  <si>
    <t xml:space="preserve">#infl </t>
  </si>
  <si>
    <t>length (min)</t>
  </si>
  <si>
    <t>inflor. hours</t>
  </si>
  <si>
    <t>notes</t>
  </si>
  <si>
    <t>Total visits</t>
  </si>
  <si>
    <t>White-cheeked HE</t>
  </si>
  <si>
    <t>Brown HE</t>
  </si>
  <si>
    <t>Honeybees</t>
  </si>
  <si>
    <t>Blue-banded bees (Amegila sp.)</t>
  </si>
  <si>
    <t>small native bees</t>
  </si>
  <si>
    <t>wasps</t>
  </si>
  <si>
    <t>butterflies</t>
  </si>
  <si>
    <t>Metllic beetles Cleridae)</t>
  </si>
  <si>
    <t>Hoverflies</t>
  </si>
  <si>
    <t>Blowflies (Caliphoridae)</t>
  </si>
  <si>
    <t>other flies</t>
  </si>
  <si>
    <t>Ioppolo NR</t>
  </si>
  <si>
    <t>PC200001</t>
  </si>
  <si>
    <t>MVI_0418</t>
  </si>
  <si>
    <t>MVI_0422</t>
  </si>
  <si>
    <t>MVI_0423</t>
  </si>
  <si>
    <t>MVI_1794</t>
  </si>
  <si>
    <t>MVI_1796</t>
  </si>
  <si>
    <t>9am</t>
  </si>
  <si>
    <t>MVI_1799</t>
  </si>
  <si>
    <t>7am</t>
  </si>
  <si>
    <t>MVI_1802</t>
  </si>
  <si>
    <t>8am</t>
  </si>
  <si>
    <t>MVI_1812</t>
  </si>
  <si>
    <t>6am</t>
  </si>
  <si>
    <t>MVI_1813</t>
  </si>
  <si>
    <t>10am</t>
  </si>
  <si>
    <t>MVI_1814</t>
  </si>
  <si>
    <t>MVI_1819</t>
  </si>
  <si>
    <t>MVI_1820</t>
  </si>
  <si>
    <t>MVI_1821</t>
  </si>
  <si>
    <t>1pm</t>
  </si>
  <si>
    <t>MVI_2155</t>
  </si>
  <si>
    <t>6:45pm</t>
  </si>
  <si>
    <t>MVI_2156</t>
  </si>
  <si>
    <t>9:45am</t>
  </si>
  <si>
    <t>MVI_2159</t>
  </si>
  <si>
    <t>10:30am</t>
  </si>
  <si>
    <t>Badgingarra NP - Bibby Rd</t>
  </si>
  <si>
    <t>MVI_4215</t>
  </si>
  <si>
    <t>8:45am</t>
  </si>
  <si>
    <t>MVI_4216</t>
  </si>
  <si>
    <t>9:30am</t>
  </si>
  <si>
    <t>MVI_4217</t>
  </si>
  <si>
    <t>7:30am</t>
  </si>
  <si>
    <t>MVI_2253</t>
  </si>
  <si>
    <t>MVI_2254</t>
  </si>
  <si>
    <t>8:30am</t>
  </si>
  <si>
    <t>MVI_2255</t>
  </si>
  <si>
    <t>Banksia attenuata pollinator surveys - direct observation day and nigh. Data is visits to the inflorescences (multiple visits by the same animal to inflorescences within the same plant were counted as one visit)</t>
  </si>
  <si>
    <t>site details</t>
  </si>
  <si>
    <t>time (night surveys greyed)</t>
  </si>
  <si>
    <t>#inflors</t>
  </si>
  <si>
    <t>Area (m2)</t>
  </si>
  <si>
    <t>Weather</t>
  </si>
  <si>
    <t xml:space="preserve">by species: </t>
  </si>
  <si>
    <t>Western Spinebill</t>
  </si>
  <si>
    <t>Honey possum</t>
  </si>
  <si>
    <t>8:30-9:00am</t>
  </si>
  <si>
    <t>Very hot, sunny, light wind</t>
  </si>
  <si>
    <t>Brown HE - visited one tree 2 or 3 inflors then flew off towards a patch of Adenanthos</t>
  </si>
  <si>
    <t>1:30-2:00pm</t>
  </si>
  <si>
    <t>No other birds in sight but some feint chirping in the area.</t>
  </si>
  <si>
    <t>300 m north of site east of the track near the Woolybush thickets</t>
  </si>
  <si>
    <t>3:45-4:15pm</t>
  </si>
  <si>
    <t>Very hot, sunny no wind</t>
  </si>
  <si>
    <t xml:space="preserve">more inflorescences nearby but mostly finished, ollected 5 honeybees, </t>
  </si>
  <si>
    <t>200 m north of site east of the track near the Woolybush thickets</t>
  </si>
  <si>
    <t>4:25-4:55pm</t>
  </si>
  <si>
    <t>25m east of the study site (across the track)</t>
  </si>
  <si>
    <t>5:10-5:40pm</t>
  </si>
  <si>
    <t xml:space="preserve"> walk through site and adjecent area to the north (approx 0.5ha) </t>
  </si>
  <si>
    <t>Hot, sunny, light wind</t>
  </si>
  <si>
    <t>total of 6 birds sighted - 1 Brown HE. All just wizz past and disappear. Some calls in the distance</t>
  </si>
  <si>
    <t xml:space="preserve"> walk through 2 ad hoc 60m transects 200 and 100m north of the site </t>
  </si>
  <si>
    <t>4:00-5:00pm</t>
  </si>
  <si>
    <t>6:15-7:15am</t>
  </si>
  <si>
    <t xml:space="preserve">2 more Brown HE flew past. Also saw 5 or 6 of the usual smaller birds - this time managed to get a better look: White-browed scrub-wrens? not visiting flowers, foraging low in the shrubs and among the eucalyptus. </t>
  </si>
  <si>
    <t xml:space="preserve">8:15-9:15am </t>
  </si>
  <si>
    <t>no birds in sight except two magpies in the distance. some calls in the distance (Brown HE)</t>
  </si>
  <si>
    <t>7:30-9:00am</t>
  </si>
  <si>
    <t>Warm morning, sunny, no wind</t>
  </si>
  <si>
    <t>6:30-7:30am</t>
  </si>
  <si>
    <t>Warm morning, sunny, light wind</t>
  </si>
  <si>
    <t>10:10-11:40pm</t>
  </si>
  <si>
    <t>Moonless night, very warm, no wind</t>
  </si>
  <si>
    <t>collected 2 beetles and 1 moth</t>
  </si>
  <si>
    <t xml:space="preserve">walk through the site and adjecent area to the south along the track with head torch + spotlight. </t>
  </si>
  <si>
    <t>9:05-10:35pm</t>
  </si>
  <si>
    <t>collected 1 beetle</t>
  </si>
  <si>
    <t>8:45-10:15pm</t>
  </si>
  <si>
    <t>small moth</t>
  </si>
  <si>
    <t>collected 1 moth and 2 beetles</t>
  </si>
  <si>
    <t xml:space="preserve">also collected 2 inflorescenses covered with the small beetles - 31 in total. But they are too small and hairless to cary pollen. </t>
  </si>
  <si>
    <t xml:space="preserve">Records from remote cameras: Roconyx modified to focus at 1m were used set up on star pickets or on the branches of the trees, somethimes using extra brackets to position the cameras. Settings: sensitivity = high, sensor = high frequency. A visit = animal approaches the plant and touches the flower with its bill or snout. In some cases this likely did not result in pollination. Occurences of nimals approaching the plant, perching or climbing in the branches adn briefly sniffing but not foraging on the flowers were not considered visits. Visits by the same species within 5 minutes in subsequent series were interpreted as continuation of the same foraging bout if the animal was not recorded leaving the camera's field of view (i.e. counted as a single visit). </t>
  </si>
  <si>
    <t xml:space="preserve">DATA ARE COUNTS OF VISITS TO INFLORESCENCE CLUSTERS (I. E., WITHOUT COUNTING MULTIPLE INFLORESCENCE VISITS WITHIN THE FORAGING BOUTS) </t>
  </si>
  <si>
    <t>site</t>
  </si>
  <si>
    <t>survey period</t>
  </si>
  <si>
    <t>survey length (hours)</t>
  </si>
  <si>
    <t xml:space="preserve">Western spinebills </t>
  </si>
  <si>
    <t>Brown honeyaeter</t>
  </si>
  <si>
    <t>White-cheeked honeyeater</t>
  </si>
  <si>
    <t>Moth large</t>
  </si>
  <si>
    <t>Moth small</t>
  </si>
  <si>
    <t>Katydid</t>
  </si>
  <si>
    <t>Small beetles</t>
  </si>
  <si>
    <t>C003</t>
  </si>
  <si>
    <t>C014</t>
  </si>
  <si>
    <t>C001</t>
  </si>
  <si>
    <t>C021</t>
  </si>
  <si>
    <t>C005</t>
  </si>
  <si>
    <t>C004</t>
  </si>
  <si>
    <t>C024</t>
  </si>
  <si>
    <t>6:07am-7pm + 6am-12:50</t>
  </si>
  <si>
    <t>C028'</t>
  </si>
  <si>
    <t>7:30pm - 2:37am</t>
  </si>
  <si>
    <t>C011</t>
  </si>
  <si>
    <t>11:02am - 10:12pm</t>
  </si>
  <si>
    <t xml:space="preserve">Honebees ca. 40 over the 5 hours until late afternoon, some small things, one fly, one moth but very briefly. </t>
  </si>
  <si>
    <t>C027</t>
  </si>
  <si>
    <t>C022</t>
  </si>
  <si>
    <t>9:04am - 10:46pm</t>
  </si>
  <si>
    <t>C023</t>
  </si>
  <si>
    <t>12:54pm - 9:48pm</t>
  </si>
  <si>
    <t xml:space="preserve">11:43am - 6:51am </t>
  </si>
  <si>
    <t>C002</t>
  </si>
  <si>
    <t>6pm-11:29pm</t>
  </si>
  <si>
    <t>C015</t>
  </si>
  <si>
    <t>6pm-1:54am</t>
  </si>
  <si>
    <t>C008</t>
  </si>
  <si>
    <t>C013</t>
  </si>
  <si>
    <t>12:55am - 10:50am</t>
  </si>
  <si>
    <t xml:space="preserve">C022 </t>
  </si>
  <si>
    <t>C029</t>
  </si>
  <si>
    <t>12:48pm - 3:21am</t>
  </si>
  <si>
    <t xml:space="preserve">7:25pm - 4am </t>
  </si>
  <si>
    <t>7:09pm - 11:55am</t>
  </si>
  <si>
    <t xml:space="preserve">many </t>
  </si>
  <si>
    <t>C030</t>
  </si>
  <si>
    <t>9:28am - 5:54pm</t>
  </si>
  <si>
    <t>10:20am-10:16pm</t>
  </si>
  <si>
    <t>C031</t>
  </si>
  <si>
    <t>C13</t>
  </si>
  <si>
    <t>10am-12:15am +1</t>
  </si>
  <si>
    <t>C15</t>
  </si>
  <si>
    <t xml:space="preserve">some </t>
  </si>
  <si>
    <t>C39</t>
  </si>
  <si>
    <t>C43</t>
  </si>
  <si>
    <t>C28</t>
  </si>
  <si>
    <t>HV</t>
  </si>
  <si>
    <t>8:08pm - 12:57pm +1</t>
  </si>
  <si>
    <t xml:space="preserve">C04 </t>
  </si>
  <si>
    <t>3:58pm-4:10pm +1day</t>
  </si>
  <si>
    <t>C24</t>
  </si>
  <si>
    <t xml:space="preserve">5.31pm -3.23am </t>
  </si>
  <si>
    <t>C25</t>
  </si>
  <si>
    <t>7:25pm -10.15am +1 day</t>
  </si>
  <si>
    <t>C26</t>
  </si>
  <si>
    <t>6.52pm-7.30am +1 day</t>
  </si>
  <si>
    <t>Issy</t>
  </si>
  <si>
    <t>C23-1</t>
  </si>
  <si>
    <t>C23-2</t>
  </si>
  <si>
    <t>9:40am-10:12am +1</t>
  </si>
  <si>
    <t xml:space="preserve">Large wasp </t>
  </si>
  <si>
    <t>lots!</t>
  </si>
  <si>
    <t>9:20am-4:55pm +1</t>
  </si>
  <si>
    <t>7:12pm-4:54pm +2</t>
  </si>
  <si>
    <t>C07</t>
  </si>
  <si>
    <t>C33</t>
  </si>
  <si>
    <t>3:55pm - 2:51pm +1</t>
  </si>
  <si>
    <t>C23-3</t>
  </si>
  <si>
    <t>8:17am-1:50pm</t>
  </si>
  <si>
    <t>honeybees</t>
  </si>
  <si>
    <t>lots</t>
  </si>
  <si>
    <t>C06</t>
  </si>
  <si>
    <t>4:45pm-8:30am +2</t>
  </si>
  <si>
    <t>C05</t>
  </si>
  <si>
    <t>4:08pm-8:19am +2</t>
  </si>
  <si>
    <t>C10</t>
  </si>
  <si>
    <t>9:26am-15:41pm</t>
  </si>
  <si>
    <t>C24-1</t>
  </si>
  <si>
    <t>1:06pm-4:30pm +4</t>
  </si>
  <si>
    <t>C24-2</t>
  </si>
  <si>
    <t>1:15pm-4:15pm +1</t>
  </si>
  <si>
    <t>C24-3</t>
  </si>
  <si>
    <t>C24-5</t>
  </si>
  <si>
    <t>8:48am-8:54am +3</t>
  </si>
  <si>
    <t>#photos</t>
  </si>
  <si>
    <t>8:20pm-7:57am +2</t>
  </si>
  <si>
    <t>C08-1</t>
  </si>
  <si>
    <t>C08-2</t>
  </si>
  <si>
    <t>7:07pm-9:35pm+2 + 6:23am-1:44pm</t>
  </si>
  <si>
    <t>C09X-3 64GB</t>
  </si>
  <si>
    <t xml:space="preserve">8:58am-7:08am +1 </t>
  </si>
  <si>
    <t>8:12am-8:43pm +2</t>
  </si>
  <si>
    <t xml:space="preserve">C14 </t>
  </si>
  <si>
    <t xml:space="preserve">12:10pm-3pm +1 </t>
  </si>
  <si>
    <t>8:25am-5:34am +2</t>
  </si>
  <si>
    <t>C03</t>
  </si>
  <si>
    <t>6:58am-7:12am +2</t>
  </si>
  <si>
    <t>C02</t>
  </si>
  <si>
    <t>7:07am-4:55pm +1</t>
  </si>
  <si>
    <t>C16</t>
  </si>
  <si>
    <t>9:02am-5:04pm +1</t>
  </si>
  <si>
    <t>7:45pm-1:30pm +1</t>
  </si>
  <si>
    <t>8:09pm-6:53am +2</t>
  </si>
  <si>
    <t>MVI_7992</t>
  </si>
  <si>
    <t>9:15am</t>
  </si>
  <si>
    <t>11:15am</t>
  </si>
  <si>
    <t>10:45am</t>
  </si>
  <si>
    <t>Hi Vallee</t>
  </si>
  <si>
    <t>MVI_7952</t>
  </si>
  <si>
    <t>MVI_7954</t>
  </si>
  <si>
    <t>11:25am</t>
  </si>
  <si>
    <t>MVI_7994</t>
  </si>
  <si>
    <t>MVI_7955</t>
  </si>
  <si>
    <t>08:20am</t>
  </si>
  <si>
    <t>Warm, sunny, light breeze</t>
  </si>
  <si>
    <t>MVI_7956</t>
  </si>
  <si>
    <t>09:10am</t>
  </si>
  <si>
    <t>MVI_7957</t>
  </si>
  <si>
    <t>Badgingarra NP - Wongonderrah Rd</t>
  </si>
  <si>
    <t>7:50am</t>
  </si>
  <si>
    <t>honey possum</t>
  </si>
  <si>
    <t>MVI_7702</t>
  </si>
  <si>
    <t>10:50am</t>
  </si>
  <si>
    <t>MVI_7706</t>
  </si>
  <si>
    <t xml:space="preserve"> </t>
  </si>
  <si>
    <t>P1010195-</t>
  </si>
  <si>
    <t>P1010015-</t>
  </si>
  <si>
    <t>P1010011-</t>
  </si>
  <si>
    <t>MVI_7707</t>
  </si>
  <si>
    <t xml:space="preserve">Cool night, light wind. </t>
  </si>
  <si>
    <t>9:45-10:45pm</t>
  </si>
  <si>
    <t>10:45-11:45am</t>
  </si>
  <si>
    <t>Part-cloudy, cool, intermittent light shower</t>
  </si>
  <si>
    <t>Honeybee</t>
  </si>
  <si>
    <t>fly</t>
  </si>
  <si>
    <t>BBB</t>
  </si>
  <si>
    <t>9:30-10:30pm</t>
  </si>
  <si>
    <t>Colpochila sp.</t>
  </si>
  <si>
    <t>8:25-9:25am</t>
  </si>
  <si>
    <t>ants</t>
  </si>
  <si>
    <t xml:space="preserve">Warm night, light breeze, part-cloudy. Moonrise c 11:45pm. </t>
  </si>
  <si>
    <t>7:50-9:50am</t>
  </si>
  <si>
    <t>Honeybees seen nearby on small star-shaped flower - ignoring B. ayttenuata just above. Aslo seed: Brown honeyeater feeding on Adenanthos</t>
  </si>
  <si>
    <t>Badgingarra - Bibby Rd</t>
  </si>
  <si>
    <t>Badgingarra - Wongonderrah Rd</t>
  </si>
  <si>
    <t>11:50-12:50pm</t>
  </si>
  <si>
    <t>11:15-00:45am</t>
  </si>
  <si>
    <t>Sunny, hot, moderte wind</t>
  </si>
  <si>
    <t>8:50-10:15pm</t>
  </si>
  <si>
    <t>10:30-12:00pm</t>
  </si>
  <si>
    <t>not recorded</t>
  </si>
  <si>
    <t>8:30-10:00am</t>
  </si>
  <si>
    <t>Hot, sunny, light beeze</t>
  </si>
  <si>
    <t>White-cheeked he's and HB present but not seen on Ba</t>
  </si>
  <si>
    <t>10:15-11:15am</t>
  </si>
  <si>
    <t>9:30-11:00pm</t>
  </si>
  <si>
    <t>Cool, clear night but no moon, light breeze</t>
  </si>
  <si>
    <t xml:space="preserve"> walk through - meandering without revisiting inflors</t>
  </si>
  <si>
    <t>10:00-11:00am</t>
  </si>
  <si>
    <t>8:15-9:15pm</t>
  </si>
  <si>
    <t>7:30-8:30am</t>
  </si>
  <si>
    <t>1:00-2:00pm</t>
  </si>
  <si>
    <t>9:15-10:15pm</t>
  </si>
  <si>
    <t>8:45-9:45am</t>
  </si>
  <si>
    <t>9:45-10:45</t>
  </si>
  <si>
    <t>Mostly cloudy, light breeze, occasional sunny spell</t>
  </si>
  <si>
    <t>7:55-8:55am</t>
  </si>
  <si>
    <t>Hot, sunny, windy</t>
  </si>
  <si>
    <t>11:20-11:50</t>
  </si>
  <si>
    <t>Badgingarra - Bibby Rd (east)</t>
  </si>
  <si>
    <t>8:30-9:30pm</t>
  </si>
  <si>
    <t>Warm, clear but no moon, light breeze</t>
  </si>
  <si>
    <t>9:00-10:00pm</t>
  </si>
  <si>
    <t>8:00-9:00am</t>
  </si>
  <si>
    <t>11:20-12:20am</t>
  </si>
  <si>
    <t xml:space="preserve">Badgingarra - Bibby Rd </t>
  </si>
  <si>
    <t>8:20-9:20pm</t>
  </si>
  <si>
    <t xml:space="preserve">Ioppolo NR </t>
  </si>
  <si>
    <t>9:00-10:00am</t>
  </si>
  <si>
    <t>Hot, sunny, light breeze</t>
  </si>
  <si>
    <t>dry, very few flowers. some birds in Marri.</t>
  </si>
  <si>
    <t>11:15-12:15am</t>
  </si>
  <si>
    <t>8:30-9:30am</t>
  </si>
  <si>
    <t>Cool, wet morning with a few showers, cloudy, light breeze</t>
  </si>
  <si>
    <t>Brown Hes - active in the morning then moved elswhere.</t>
  </si>
  <si>
    <t>Badgingarra - Cadda Rd</t>
  </si>
  <si>
    <t>Cool, partially cloudy night, some showers earlier, light breeze</t>
  </si>
  <si>
    <t>Mild night, light breeze, new moon</t>
  </si>
  <si>
    <t>Moth - small</t>
  </si>
  <si>
    <t>Moth - Old lady</t>
  </si>
  <si>
    <t>7:00-8:00am</t>
  </si>
  <si>
    <t>Lots of White-cheeked Hes around but not visiting flowers. Two larger Hes passed briefly.</t>
  </si>
  <si>
    <t>Cool night, light breeze, new moon</t>
  </si>
  <si>
    <t>Lots of beetles! Moths too - but don't touch stigma</t>
  </si>
  <si>
    <t xml:space="preserve">Patch of B.att about 50x40 m. About 100 m North of study site. </t>
  </si>
  <si>
    <t>type</t>
  </si>
  <si>
    <t>woodland</t>
  </si>
  <si>
    <t>heath</t>
  </si>
  <si>
    <t>Site code</t>
  </si>
  <si>
    <t>BNP-1</t>
  </si>
  <si>
    <t>BNP-2</t>
  </si>
  <si>
    <t>INR-2</t>
  </si>
  <si>
    <t>INR-1</t>
  </si>
  <si>
    <t>BNP-3</t>
  </si>
  <si>
    <t>Badgingarra - Bibby Rd (south)</t>
  </si>
  <si>
    <t>9:00-10:30pm</t>
  </si>
  <si>
    <t>Cool and windy. Full moon but mostly cloudy.</t>
  </si>
  <si>
    <t>7:00-8:30am</t>
  </si>
  <si>
    <t>Sunny, warm, light breeze</t>
  </si>
  <si>
    <t xml:space="preserve">Honeyeaters present but not visiting flowers </t>
  </si>
  <si>
    <t>Clear, light breeze, warm, moonlight from 9pm</t>
  </si>
  <si>
    <t>Very hot, mostly no wind, there was a summer storm in the evening with brief heavy shower, then cleared.</t>
  </si>
  <si>
    <t>9:20am</t>
  </si>
  <si>
    <t>7:00-8:30</t>
  </si>
  <si>
    <t>Sunny, hot, light wind</t>
  </si>
  <si>
    <t>cam09</t>
  </si>
  <si>
    <t>cam11</t>
  </si>
  <si>
    <t>day</t>
  </si>
  <si>
    <t>night</t>
  </si>
  <si>
    <t>day.night</t>
  </si>
  <si>
    <t>x</t>
  </si>
  <si>
    <t>start time</t>
  </si>
  <si>
    <t>12pm</t>
  </si>
  <si>
    <t>11pm</t>
  </si>
  <si>
    <t>11:50am</t>
  </si>
  <si>
    <t>MVI_7961-2</t>
  </si>
  <si>
    <t>MVI_7963</t>
  </si>
  <si>
    <t>MVI_0400</t>
  </si>
  <si>
    <t>MVI_0404</t>
  </si>
  <si>
    <t>MVI_0408</t>
  </si>
  <si>
    <t>MVI_0411</t>
  </si>
  <si>
    <t>MVI_0424-29</t>
  </si>
  <si>
    <t>MVI_0434-39</t>
  </si>
  <si>
    <t>MVI_7965</t>
  </si>
  <si>
    <t>MVI_7966</t>
  </si>
  <si>
    <t>11:20am</t>
  </si>
  <si>
    <t>C01</t>
  </si>
  <si>
    <t>White-fronted honeyeater</t>
  </si>
  <si>
    <t>C09</t>
  </si>
  <si>
    <t>7:01am-9:09am +2</t>
  </si>
  <si>
    <t>9:18am-9:53pm</t>
  </si>
  <si>
    <t>C11</t>
  </si>
  <si>
    <t>12:15pm-2:40pm +1</t>
  </si>
  <si>
    <t>C12</t>
  </si>
  <si>
    <t>12:45pm-9:35am +1</t>
  </si>
  <si>
    <t>C24-6</t>
  </si>
  <si>
    <t>MVI_7708</t>
  </si>
  <si>
    <t>8:20am</t>
  </si>
  <si>
    <t>MVI_7710</t>
  </si>
  <si>
    <t>MVI_7711</t>
  </si>
  <si>
    <t>12:10pm</t>
  </si>
  <si>
    <t>MVI_7714</t>
  </si>
  <si>
    <t>Badgingarra NP - Bibby Rd (east)</t>
  </si>
  <si>
    <t>MVI_7715</t>
  </si>
  <si>
    <t>MVI_7978</t>
  </si>
  <si>
    <t>7:45am</t>
  </si>
  <si>
    <t>MVI_7983</t>
  </si>
  <si>
    <t>MVI_7984</t>
  </si>
  <si>
    <t>Javelin delma (Delma concinna)</t>
  </si>
  <si>
    <t>MVI_7985</t>
  </si>
  <si>
    <t>MVI_7986</t>
  </si>
  <si>
    <t>7:15am</t>
  </si>
  <si>
    <t>MVI_7988</t>
  </si>
  <si>
    <t>10:15am</t>
  </si>
  <si>
    <t>MVI_7989</t>
  </si>
  <si>
    <t>11:30am</t>
  </si>
  <si>
    <t>Phalerimeris carinifrons</t>
  </si>
  <si>
    <t xml:space="preserve">small wasps </t>
  </si>
  <si>
    <t>7:58pm-6:13am +1</t>
  </si>
  <si>
    <t>10:30-11:30am</t>
  </si>
  <si>
    <t>12:00-1:00pm</t>
  </si>
  <si>
    <t>Phyllotocus occidentalis</t>
  </si>
  <si>
    <t>Pachytricha minor</t>
  </si>
  <si>
    <t>9:30m - 2:47pm</t>
  </si>
  <si>
    <t>1:30pm-10:39am +1</t>
  </si>
  <si>
    <t>9:27am-11:37am +1</t>
  </si>
  <si>
    <t>6:57am - 3:50am + 2days</t>
  </si>
  <si>
    <t>6:20pm - 8:20pm + 3days</t>
  </si>
  <si>
    <t>6:46am - 1:23pm + 3 days</t>
  </si>
  <si>
    <t>11:20am - 9:46am + 2days</t>
  </si>
  <si>
    <t>7:52pm - 2:13am + 2days</t>
  </si>
  <si>
    <t>5am - 9:30am + 1day</t>
  </si>
  <si>
    <t>7pm -7:30pm + 1day</t>
  </si>
  <si>
    <t>7pm - 8am + 7days</t>
  </si>
  <si>
    <t>daytime</t>
  </si>
  <si>
    <t>nighttime (7pm-5am)</t>
  </si>
  <si>
    <t>Honey possums</t>
  </si>
  <si>
    <t>Amegilla sp.</t>
  </si>
  <si>
    <t>ID (card code)</t>
  </si>
  <si>
    <t xml:space="preserve">C09X-1/2 </t>
  </si>
  <si>
    <t xml:space="preserve">C10X </t>
  </si>
  <si>
    <t>Date set up (YY-MM-DD)</t>
  </si>
  <si>
    <t>ID (file name)</t>
  </si>
  <si>
    <t>MVI_0392</t>
  </si>
  <si>
    <t>P1010175</t>
  </si>
  <si>
    <t>P1010002</t>
  </si>
  <si>
    <t>P1010010</t>
  </si>
  <si>
    <t>P1010018</t>
  </si>
  <si>
    <t>P1010021</t>
  </si>
  <si>
    <t xml:space="preserve">2 honeybees sen near the flowers but not on B.a. </t>
  </si>
  <si>
    <t>Agonocheila sp. (Carabindae)</t>
  </si>
  <si>
    <t>no recorded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</si>
</sst>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
    <numFmt numFmtId="166" formatCode="d/mm/yyyy;@"/>
    <numFmt numFmtId="167" formatCode="dd/mm/yyyy;@"/>
  </numFmts>
  <fonts count="12">
    <font>
      <sz val="11"/>
      <color theme="1"/>
      <name val="Calibri"/>
      <family val="2"/>
      <scheme val="minor"/>
    </font>
    <font>
      <b/>
      <sz val="11"/>
      <color theme="1"/>
      <name val="Calibri"/>
      <family val="2"/>
      <scheme val="minor"/>
    </font>
    <font>
      <sz val="11"/>
      <color rgb="FF000000"/>
      <name val="Calibri"/>
      <family val="2"/>
      <scheme val="minor"/>
    </font>
    <font>
      <u/>
      <sz val="11"/>
      <color theme="10"/>
      <name val="Calibri"/>
      <family val="2"/>
      <scheme val="minor"/>
    </font>
    <font>
      <b/>
      <sz val="9"/>
      <color indexed="81"/>
      <name val="Tahoma"/>
      <family val="2"/>
    </font>
    <font>
      <sz val="9"/>
      <color indexed="81"/>
      <name val="Tahoma"/>
      <family val="2"/>
    </font>
    <font>
      <sz val="12"/>
      <color theme="1"/>
      <name val="Calibri"/>
      <family val="2"/>
      <scheme val="minor"/>
    </font>
    <font>
      <b/>
      <sz val="11"/>
      <color rgb="FF000000"/>
      <name val="Calibri"/>
      <family val="2"/>
      <scheme val="minor"/>
    </font>
    <font>
      <sz val="8"/>
      <name val="Calibri"/>
      <family val="2"/>
      <scheme val="minor"/>
    </font>
    <font>
      <sz val="11"/>
      <color rgb="FFFF0000"/>
      <name val="Calibri"/>
      <family val="2"/>
      <scheme val="minor"/>
    </font>
    <font>
      <sz val="11"/>
      <name val="Calibri"/>
      <family val="2"/>
      <scheme val="minor"/>
    </font>
    <font>
      <b/>
      <sz val="11"/>
      <name val="Calibri"/>
      <family val="2"/>
      <scheme val="minor"/>
    </font>
  </fonts>
  <fills count="3">
    <fill>
      <patternFill patternType="none"/>
    </fill>
    <fill>
      <patternFill patternType="gray125"/>
    </fill>
    <fill>
      <patternFill patternType="solid">
        <fgColor theme="2"/>
        <bgColor indexed="64"/>
      </patternFill>
    </fill>
  </fills>
  <borders count="9">
    <border>
      <left/>
      <right/>
      <top/>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3" fillId="0" borderId="0" applyNumberFormat="0" applyFill="0" applyBorder="0" applyAlignment="0" applyProtection="0"/>
  </cellStyleXfs>
  <cellXfs count="93">
    <xf numFmtId="0" fontId="0" fillId="0" borderId="0" xfId="0"/>
    <xf numFmtId="0" fontId="2" fillId="0" borderId="0" xfId="0" applyFont="1"/>
    <xf numFmtId="0" fontId="1" fillId="0" borderId="0" xfId="0" applyFont="1"/>
    <xf numFmtId="14" fontId="0" fillId="0" borderId="0" xfId="0" applyNumberFormat="1"/>
    <xf numFmtId="1" fontId="0" fillId="0" borderId="0" xfId="0" applyNumberFormat="1"/>
    <xf numFmtId="0" fontId="0" fillId="0" borderId="1" xfId="0" applyBorder="1"/>
    <xf numFmtId="0" fontId="1" fillId="0" borderId="3" xfId="0" applyFont="1" applyBorder="1"/>
    <xf numFmtId="0" fontId="7" fillId="0" borderId="4" xfId="0" applyFont="1" applyBorder="1"/>
    <xf numFmtId="0" fontId="1" fillId="0" borderId="2" xfId="0" applyFont="1" applyBorder="1"/>
    <xf numFmtId="0" fontId="2" fillId="0" borderId="1" xfId="0" applyFont="1" applyBorder="1"/>
    <xf numFmtId="0" fontId="10" fillId="2" borderId="1" xfId="0" applyFont="1" applyFill="1" applyBorder="1"/>
    <xf numFmtId="0" fontId="0" fillId="0" borderId="6" xfId="0" applyBorder="1"/>
    <xf numFmtId="0" fontId="1" fillId="0" borderId="7" xfId="0" applyFont="1" applyBorder="1"/>
    <xf numFmtId="0" fontId="1" fillId="0" borderId="6" xfId="0" applyFont="1" applyBorder="1"/>
    <xf numFmtId="0" fontId="2" fillId="0" borderId="6" xfId="0" applyFont="1" applyBorder="1"/>
    <xf numFmtId="0" fontId="2" fillId="2" borderId="6" xfId="0" applyFont="1" applyFill="1" applyBorder="1"/>
    <xf numFmtId="0" fontId="7" fillId="0" borderId="5" xfId="0" applyFont="1" applyBorder="1"/>
    <xf numFmtId="0" fontId="0" fillId="2" borderId="1" xfId="0" applyFill="1" applyBorder="1"/>
    <xf numFmtId="0" fontId="7" fillId="0" borderId="0" xfId="0" applyFont="1"/>
    <xf numFmtId="0" fontId="10" fillId="0" borderId="0" xfId="0" applyFont="1"/>
    <xf numFmtId="14" fontId="0" fillId="2" borderId="0" xfId="0" applyNumberFormat="1" applyFill="1"/>
    <xf numFmtId="0" fontId="10" fillId="2" borderId="0" xfId="0" applyFont="1" applyFill="1"/>
    <xf numFmtId="0" fontId="0" fillId="2" borderId="0" xfId="0" applyFill="1"/>
    <xf numFmtId="165" fontId="0" fillId="0" borderId="0" xfId="0" applyNumberFormat="1"/>
    <xf numFmtId="0" fontId="2" fillId="2" borderId="0" xfId="0" applyFont="1" applyFill="1"/>
    <xf numFmtId="165" fontId="0" fillId="2" borderId="0" xfId="0" applyNumberFormat="1" applyFill="1"/>
    <xf numFmtId="1" fontId="0" fillId="2" borderId="0" xfId="0" applyNumberFormat="1" applyFill="1"/>
    <xf numFmtId="14" fontId="10" fillId="0" borderId="0" xfId="0" applyNumberFormat="1" applyFont="1"/>
    <xf numFmtId="14" fontId="10" fillId="2" borderId="0" xfId="0" applyNumberFormat="1" applyFont="1" applyFill="1"/>
    <xf numFmtId="165" fontId="10" fillId="2" borderId="0" xfId="0" applyNumberFormat="1" applyFont="1" applyFill="1"/>
    <xf numFmtId="1" fontId="10" fillId="2" borderId="0" xfId="0" applyNumberFormat="1" applyFont="1" applyFill="1"/>
    <xf numFmtId="20" fontId="10" fillId="0" borderId="0" xfId="0" applyNumberFormat="1" applyFont="1"/>
    <xf numFmtId="0" fontId="1" fillId="0" borderId="4" xfId="0" applyFont="1" applyBorder="1"/>
    <xf numFmtId="0" fontId="11" fillId="2" borderId="0" xfId="0" applyFont="1" applyFill="1"/>
    <xf numFmtId="14" fontId="11" fillId="2" borderId="0" xfId="0" applyNumberFormat="1" applyFont="1" applyFill="1"/>
    <xf numFmtId="0" fontId="7" fillId="2" borderId="0" xfId="0" applyFont="1" applyFill="1"/>
    <xf numFmtId="165" fontId="11" fillId="2" borderId="0" xfId="0" applyNumberFormat="1" applyFont="1" applyFill="1"/>
    <xf numFmtId="1" fontId="11" fillId="2" borderId="0" xfId="0" applyNumberFormat="1" applyFont="1" applyFill="1"/>
    <xf numFmtId="0" fontId="7" fillId="2" borderId="6" xfId="0" applyFont="1" applyFill="1" applyBorder="1"/>
    <xf numFmtId="0" fontId="11" fillId="2" borderId="1" xfId="0" applyFont="1" applyFill="1" applyBorder="1"/>
    <xf numFmtId="0" fontId="11" fillId="0" borderId="0" xfId="0" applyFont="1"/>
    <xf numFmtId="14" fontId="11" fillId="0" borderId="0" xfId="0" applyNumberFormat="1" applyFont="1"/>
    <xf numFmtId="165" fontId="1" fillId="0" borderId="0" xfId="0" applyNumberFormat="1" applyFont="1"/>
    <xf numFmtId="1" fontId="1" fillId="0" borderId="0" xfId="0" applyNumberFormat="1" applyFont="1"/>
    <xf numFmtId="0" fontId="7" fillId="0" borderId="6" xfId="0" applyFont="1" applyBorder="1"/>
    <xf numFmtId="0" fontId="7" fillId="0" borderId="1" xfId="0" applyFont="1" applyBorder="1"/>
    <xf numFmtId="0" fontId="0" fillId="0" borderId="0" xfId="0" applyFill="1"/>
    <xf numFmtId="0" fontId="0" fillId="0" borderId="0" xfId="0" applyFill="1" applyBorder="1"/>
    <xf numFmtId="2" fontId="0" fillId="0" borderId="0" xfId="0" applyNumberFormat="1" applyFill="1" applyBorder="1"/>
    <xf numFmtId="1" fontId="0" fillId="0" borderId="0" xfId="0" applyNumberFormat="1" applyFill="1" applyBorder="1"/>
    <xf numFmtId="0" fontId="6" fillId="0" borderId="0" xfId="0" applyFont="1" applyFill="1" applyBorder="1"/>
    <xf numFmtId="20" fontId="0" fillId="0" borderId="0" xfId="0" applyNumberFormat="1" applyFill="1" applyBorder="1"/>
    <xf numFmtId="14" fontId="0" fillId="0" borderId="0" xfId="0" applyNumberFormat="1" applyFill="1" applyBorder="1"/>
    <xf numFmtId="0" fontId="1" fillId="0" borderId="0" xfId="0" applyFont="1" applyFill="1" applyBorder="1"/>
    <xf numFmtId="0" fontId="0" fillId="0" borderId="4" xfId="0" applyFill="1" applyBorder="1"/>
    <xf numFmtId="14" fontId="0" fillId="0" borderId="4" xfId="0" applyNumberFormat="1" applyFill="1" applyBorder="1"/>
    <xf numFmtId="2" fontId="0" fillId="0" borderId="4" xfId="0" applyNumberFormat="1" applyFill="1" applyBorder="1"/>
    <xf numFmtId="1" fontId="0" fillId="0" borderId="4" xfId="0" applyNumberFormat="1" applyFill="1" applyBorder="1"/>
    <xf numFmtId="0" fontId="2" fillId="0" borderId="0" xfId="0" applyFont="1" applyFill="1"/>
    <xf numFmtId="2" fontId="0" fillId="0" borderId="0" xfId="0" applyNumberFormat="1" applyFill="1"/>
    <xf numFmtId="1" fontId="0" fillId="0" borderId="0" xfId="0" applyNumberFormat="1" applyFill="1"/>
    <xf numFmtId="0" fontId="10" fillId="0" borderId="0" xfId="0" applyFont="1" applyFill="1"/>
    <xf numFmtId="20" fontId="2" fillId="0" borderId="0" xfId="0" applyNumberFormat="1" applyFont="1" applyFill="1"/>
    <xf numFmtId="0" fontId="2" fillId="0" borderId="4" xfId="0" applyFont="1" applyFill="1" applyBorder="1"/>
    <xf numFmtId="164" fontId="0" fillId="0" borderId="0" xfId="0" applyNumberFormat="1" applyFill="1" applyBorder="1"/>
    <xf numFmtId="0" fontId="3" fillId="0" borderId="0" xfId="1" applyFill="1" applyBorder="1"/>
    <xf numFmtId="164" fontId="1" fillId="0" borderId="0" xfId="0" applyNumberFormat="1" applyFont="1" applyFill="1" applyBorder="1"/>
    <xf numFmtId="166" fontId="0" fillId="0" borderId="0" xfId="0" applyNumberFormat="1" applyFill="1" applyBorder="1"/>
    <xf numFmtId="0" fontId="2" fillId="0" borderId="0" xfId="0" applyFont="1" applyFill="1" applyBorder="1"/>
    <xf numFmtId="2" fontId="2" fillId="0" borderId="0" xfId="0" applyNumberFormat="1" applyFont="1" applyFill="1" applyBorder="1"/>
    <xf numFmtId="16" fontId="0" fillId="0" borderId="0" xfId="0" applyNumberFormat="1" applyFill="1" applyBorder="1"/>
    <xf numFmtId="2" fontId="9" fillId="0" borderId="0" xfId="0" applyNumberFormat="1" applyFont="1" applyFill="1" applyBorder="1"/>
    <xf numFmtId="16" fontId="2" fillId="0" borderId="0" xfId="0" applyNumberFormat="1" applyFont="1" applyFill="1" applyBorder="1"/>
    <xf numFmtId="0" fontId="10" fillId="0" borderId="0" xfId="0" applyFont="1" applyFill="1" applyBorder="1"/>
    <xf numFmtId="166" fontId="10" fillId="0" borderId="0" xfId="0" applyNumberFormat="1" applyFont="1" applyFill="1" applyBorder="1"/>
    <xf numFmtId="20" fontId="2" fillId="0" borderId="0" xfId="0" applyNumberFormat="1" applyFont="1" applyFill="1" applyBorder="1"/>
    <xf numFmtId="0" fontId="2" fillId="0" borderId="6" xfId="0" applyFont="1" applyFill="1" applyBorder="1"/>
    <xf numFmtId="14" fontId="0" fillId="0" borderId="0" xfId="0" applyNumberFormat="1" applyFill="1"/>
    <xf numFmtId="165" fontId="0" fillId="0" borderId="0" xfId="0" applyNumberFormat="1" applyFill="1"/>
    <xf numFmtId="2" fontId="0" fillId="2" borderId="0" xfId="0" applyNumberFormat="1" applyFill="1"/>
    <xf numFmtId="0" fontId="2" fillId="2" borderId="1" xfId="0" applyFont="1" applyFill="1" applyBorder="1"/>
    <xf numFmtId="0" fontId="10" fillId="0" borderId="4" xfId="0" applyFont="1" applyFill="1" applyBorder="1"/>
    <xf numFmtId="165" fontId="0" fillId="0" borderId="4" xfId="0" applyNumberFormat="1" applyFill="1" applyBorder="1"/>
    <xf numFmtId="0" fontId="2" fillId="0" borderId="8" xfId="0" applyFont="1" applyFill="1" applyBorder="1"/>
    <xf numFmtId="0" fontId="2" fillId="0" borderId="5" xfId="0" applyFont="1" applyFill="1" applyBorder="1"/>
    <xf numFmtId="0" fontId="2" fillId="0" borderId="1" xfId="0" applyFont="1" applyFill="1" applyBorder="1"/>
    <xf numFmtId="0" fontId="0" fillId="0" borderId="0" xfId="0" applyFont="1" applyFill="1" applyBorder="1"/>
    <xf numFmtId="2" fontId="0" fillId="0" borderId="0" xfId="0" applyNumberFormat="1" applyFont="1" applyFill="1" applyBorder="1"/>
    <xf numFmtId="1" fontId="0" fillId="0" borderId="0" xfId="0" applyNumberFormat="1" applyFont="1" applyFill="1" applyBorder="1"/>
    <xf numFmtId="0" fontId="0" fillId="0" borderId="0" xfId="0" quotePrefix="1" applyFont="1" applyFill="1" applyBorder="1"/>
    <xf numFmtId="167" fontId="0" fillId="0" borderId="0" xfId="0" applyNumberFormat="1" applyFont="1" applyFill="1" applyBorder="1"/>
    <xf numFmtId="20" fontId="0" fillId="0" borderId="0" xfId="0" applyNumberFormat="1" applyFont="1" applyFill="1" applyBorder="1"/>
    <xf numFmtId="14" fontId="0" fillId="0" borderId="0" xfId="0" applyNumberFormat="1" applyFont="1" applyFill="1" applyBorder="1"/>
  </cellXfs>
  <cellStyles count="2">
    <cellStyle name="Hyperlink" xfId="1" builtinId="8"/>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33A9E-28ED-4A25-BD44-D65E5C9E8098}">
  <dimension ref="A1:AG69"/>
  <sheetViews>
    <sheetView zoomScale="70" zoomScaleNormal="70" workbookViewId="0">
      <pane xSplit="1" ySplit="3" topLeftCell="I4" activePane="bottomRight" state="frozen"/>
      <selection pane="topRight" activeCell="B1" sqref="B1"/>
      <selection pane="bottomLeft" activeCell="A4" sqref="A4"/>
      <selection pane="bottomRight" activeCell="I25" sqref="I25"/>
    </sheetView>
  </sheetViews>
  <sheetFormatPr defaultRowHeight="14.4"/>
  <cols>
    <col min="1" max="1" width="30.88671875" customWidth="1"/>
    <col min="2" max="2" width="20" customWidth="1"/>
    <col min="3" max="3" width="12.88671875" customWidth="1"/>
    <col min="4" max="4" width="13.21875" customWidth="1"/>
    <col min="5" max="5" width="11.44140625" customWidth="1"/>
    <col min="6" max="6" width="18.6640625" customWidth="1"/>
    <col min="7" max="7" width="11.5546875" customWidth="1"/>
    <col min="8" max="8" width="12.109375" customWidth="1"/>
    <col min="9" max="9" width="14.109375" customWidth="1"/>
    <col min="10" max="10" width="10.33203125" customWidth="1"/>
    <col min="12" max="12" width="31" customWidth="1"/>
    <col min="13" max="13" width="13.77734375" style="11" customWidth="1"/>
    <col min="14" max="14" width="11.44140625" customWidth="1"/>
    <col min="15" max="15" width="11.109375" customWidth="1"/>
    <col min="16" max="16" width="11.5546875" customWidth="1"/>
    <col min="17" max="17" width="10.33203125" customWidth="1"/>
    <col min="18" max="19" width="8.5546875" customWidth="1"/>
    <col min="20" max="20" width="9.21875" customWidth="1"/>
    <col min="21" max="21" width="11.21875" style="5" customWidth="1"/>
    <col min="22" max="22" width="11.77734375" customWidth="1"/>
    <col min="23" max="23" width="10.21875" customWidth="1"/>
    <col min="26" max="26" width="10.5546875" customWidth="1"/>
  </cols>
  <sheetData>
    <row r="1" spans="1:33">
      <c r="A1" t="s">
        <v>58</v>
      </c>
    </row>
    <row r="2" spans="1:33">
      <c r="A2" s="6" t="s">
        <v>2</v>
      </c>
      <c r="B2" s="2" t="s">
        <v>310</v>
      </c>
      <c r="C2" s="6" t="s">
        <v>59</v>
      </c>
      <c r="D2" s="6" t="s">
        <v>3</v>
      </c>
      <c r="E2" s="6" t="s">
        <v>307</v>
      </c>
      <c r="F2" s="6" t="s">
        <v>60</v>
      </c>
      <c r="G2" s="6" t="s">
        <v>331</v>
      </c>
      <c r="H2" s="6" t="s">
        <v>61</v>
      </c>
      <c r="I2" s="6" t="s">
        <v>5</v>
      </c>
      <c r="J2" s="6" t="s">
        <v>6</v>
      </c>
      <c r="K2" s="6" t="s">
        <v>62</v>
      </c>
      <c r="L2" s="6" t="s">
        <v>63</v>
      </c>
      <c r="M2" s="12"/>
      <c r="N2" s="6" t="s">
        <v>64</v>
      </c>
      <c r="O2" s="6"/>
      <c r="P2" s="6"/>
      <c r="Q2" s="6"/>
      <c r="R2" s="6"/>
      <c r="S2" s="6"/>
      <c r="T2" s="6"/>
      <c r="U2" s="8"/>
      <c r="V2" s="6"/>
      <c r="W2" s="6"/>
      <c r="X2" s="6"/>
      <c r="Y2" s="6"/>
      <c r="Z2" s="6"/>
      <c r="AA2" s="6"/>
      <c r="AB2" s="6" t="s">
        <v>7</v>
      </c>
      <c r="AC2" s="6"/>
      <c r="AD2" s="6"/>
      <c r="AE2" s="6"/>
      <c r="AF2" s="6"/>
      <c r="AG2" s="6"/>
    </row>
    <row r="3" spans="1:33">
      <c r="A3" s="2"/>
      <c r="B3" s="2"/>
      <c r="C3" s="2"/>
      <c r="D3" s="2"/>
      <c r="E3" s="2"/>
      <c r="F3" s="2"/>
      <c r="G3" s="2"/>
      <c r="H3" s="2"/>
      <c r="I3" s="2"/>
      <c r="J3" s="2"/>
      <c r="K3" s="2"/>
      <c r="L3" s="2"/>
      <c r="M3" s="13" t="s">
        <v>8</v>
      </c>
      <c r="N3" s="32" t="s">
        <v>9</v>
      </c>
      <c r="O3" s="2" t="s">
        <v>10</v>
      </c>
      <c r="P3" s="2" t="s">
        <v>65</v>
      </c>
      <c r="Q3" s="7" t="s">
        <v>245</v>
      </c>
      <c r="R3" s="7" t="s">
        <v>247</v>
      </c>
      <c r="S3" s="7" t="s">
        <v>378</v>
      </c>
      <c r="T3" s="7" t="s">
        <v>246</v>
      </c>
      <c r="U3" s="16" t="s">
        <v>66</v>
      </c>
      <c r="V3" s="7" t="s">
        <v>384</v>
      </c>
      <c r="W3" s="7" t="s">
        <v>249</v>
      </c>
      <c r="X3" s="7" t="s">
        <v>383</v>
      </c>
      <c r="Y3" s="7" t="s">
        <v>412</v>
      </c>
      <c r="Z3" s="7" t="s">
        <v>301</v>
      </c>
      <c r="AA3" s="18" t="s">
        <v>300</v>
      </c>
      <c r="AB3" s="2"/>
      <c r="AC3" s="2"/>
      <c r="AD3" s="2"/>
      <c r="AE3" s="2"/>
      <c r="AF3" s="2"/>
      <c r="AG3" s="2"/>
    </row>
    <row r="4" spans="1:33" s="2" customFormat="1">
      <c r="A4" s="40" t="s">
        <v>219</v>
      </c>
      <c r="B4" s="40" t="s">
        <v>158</v>
      </c>
      <c r="C4" s="18" t="s">
        <v>269</v>
      </c>
      <c r="D4" s="41">
        <v>45259</v>
      </c>
      <c r="E4" s="41" t="s">
        <v>309</v>
      </c>
      <c r="F4" s="40" t="s">
        <v>243</v>
      </c>
      <c r="G4" s="18" t="s">
        <v>329</v>
      </c>
      <c r="H4" s="18">
        <v>15</v>
      </c>
      <c r="I4" s="18">
        <v>60</v>
      </c>
      <c r="J4" s="42">
        <f t="shared" ref="J4:J35" si="0">H4*I4/60</f>
        <v>15</v>
      </c>
      <c r="K4" s="43">
        <v>1000</v>
      </c>
      <c r="L4" s="18" t="s">
        <v>244</v>
      </c>
      <c r="M4" s="44">
        <f>SUM(N4:Z4)</f>
        <v>6</v>
      </c>
      <c r="N4" s="18">
        <v>1</v>
      </c>
      <c r="O4" s="18">
        <v>0</v>
      </c>
      <c r="P4" s="18">
        <v>0</v>
      </c>
      <c r="Q4" s="18">
        <v>3</v>
      </c>
      <c r="R4" s="18">
        <v>1</v>
      </c>
      <c r="S4" s="18"/>
      <c r="T4" s="18">
        <v>1</v>
      </c>
      <c r="U4" s="45">
        <v>0</v>
      </c>
      <c r="V4" s="18"/>
      <c r="W4" s="18"/>
      <c r="X4" s="18"/>
      <c r="Y4" s="18"/>
      <c r="Z4" s="18"/>
      <c r="AA4" s="18"/>
      <c r="AB4" s="18"/>
      <c r="AC4" s="18"/>
      <c r="AD4" s="18"/>
      <c r="AE4" s="18"/>
      <c r="AF4" s="18"/>
      <c r="AG4" s="18"/>
    </row>
    <row r="5" spans="1:33" s="2" customFormat="1">
      <c r="A5" s="40" t="s">
        <v>219</v>
      </c>
      <c r="B5" s="40" t="s">
        <v>158</v>
      </c>
      <c r="C5" s="18" t="s">
        <v>269</v>
      </c>
      <c r="D5" s="41">
        <v>45260</v>
      </c>
      <c r="E5" s="41" t="s">
        <v>309</v>
      </c>
      <c r="F5" s="40" t="s">
        <v>250</v>
      </c>
      <c r="G5" s="18" t="s">
        <v>329</v>
      </c>
      <c r="H5" s="18">
        <v>25</v>
      </c>
      <c r="I5" s="18">
        <v>60</v>
      </c>
      <c r="J5" s="42">
        <f t="shared" si="0"/>
        <v>25</v>
      </c>
      <c r="K5" s="43">
        <v>1000</v>
      </c>
      <c r="L5" s="18" t="s">
        <v>244</v>
      </c>
      <c r="M5" s="44">
        <f>SUM(N5:Z5)</f>
        <v>5</v>
      </c>
      <c r="N5" s="18">
        <v>0</v>
      </c>
      <c r="O5" s="18">
        <v>0</v>
      </c>
      <c r="P5" s="18">
        <v>0</v>
      </c>
      <c r="Q5" s="18">
        <v>2</v>
      </c>
      <c r="R5" s="18">
        <v>0</v>
      </c>
      <c r="S5" s="18">
        <v>1</v>
      </c>
      <c r="T5" s="18">
        <v>2</v>
      </c>
      <c r="U5" s="45">
        <v>0</v>
      </c>
      <c r="V5" s="18"/>
      <c r="W5" s="18"/>
      <c r="X5" s="18"/>
      <c r="Y5" s="18"/>
      <c r="Z5" s="18"/>
      <c r="AA5" s="18"/>
      <c r="AB5" s="18"/>
      <c r="AC5" s="18"/>
      <c r="AD5" s="18"/>
      <c r="AE5" s="18"/>
      <c r="AF5" s="18"/>
      <c r="AG5" s="18"/>
    </row>
    <row r="6" spans="1:33">
      <c r="A6" t="s">
        <v>297</v>
      </c>
      <c r="B6" s="3" t="s">
        <v>315</v>
      </c>
      <c r="C6" s="1" t="s">
        <v>269</v>
      </c>
      <c r="D6" s="3">
        <v>45632</v>
      </c>
      <c r="E6" s="27" t="s">
        <v>309</v>
      </c>
      <c r="F6" s="1" t="s">
        <v>302</v>
      </c>
      <c r="G6" s="1" t="s">
        <v>329</v>
      </c>
      <c r="H6" s="1">
        <v>52</v>
      </c>
      <c r="I6" s="1">
        <v>60</v>
      </c>
      <c r="J6" s="23">
        <f t="shared" si="0"/>
        <v>52</v>
      </c>
      <c r="K6" s="4">
        <f>150*100</f>
        <v>15000</v>
      </c>
      <c r="L6" s="1" t="s">
        <v>226</v>
      </c>
      <c r="M6" s="14">
        <f>SUM(N6:Z6)</f>
        <v>11</v>
      </c>
      <c r="N6" s="1"/>
      <c r="O6" s="1"/>
      <c r="P6" s="1"/>
      <c r="Q6" s="1">
        <f>3+1+1+1+4+1</f>
        <v>11</v>
      </c>
      <c r="R6" s="1"/>
      <c r="S6" s="1"/>
      <c r="T6" s="1"/>
      <c r="U6" s="9"/>
      <c r="V6" s="1"/>
      <c r="W6" s="1"/>
      <c r="X6" s="1"/>
      <c r="Y6" s="1"/>
      <c r="Z6" s="1"/>
      <c r="AA6" s="1"/>
      <c r="AB6" s="1" t="s">
        <v>303</v>
      </c>
      <c r="AC6" s="1"/>
      <c r="AD6" s="1"/>
      <c r="AE6" s="1"/>
      <c r="AF6" s="1"/>
      <c r="AG6" s="1"/>
    </row>
    <row r="7" spans="1:33">
      <c r="A7" t="s">
        <v>297</v>
      </c>
      <c r="B7" s="3" t="s">
        <v>315</v>
      </c>
      <c r="C7" s="1" t="s">
        <v>269</v>
      </c>
      <c r="D7" s="3">
        <v>45632</v>
      </c>
      <c r="E7" s="27" t="s">
        <v>309</v>
      </c>
      <c r="F7" s="1" t="s">
        <v>290</v>
      </c>
      <c r="G7" s="1" t="s">
        <v>329</v>
      </c>
      <c r="H7" s="1">
        <v>62</v>
      </c>
      <c r="I7" s="1">
        <v>60</v>
      </c>
      <c r="J7" s="23">
        <f t="shared" si="0"/>
        <v>62</v>
      </c>
      <c r="K7" s="4">
        <f>150*100</f>
        <v>15000</v>
      </c>
      <c r="L7" s="1" t="s">
        <v>291</v>
      </c>
      <c r="M7" s="14">
        <f>SUM(N7:Z7)</f>
        <v>37</v>
      </c>
      <c r="N7" s="1"/>
      <c r="O7" s="1"/>
      <c r="P7" s="1"/>
      <c r="Q7" s="1">
        <v>36</v>
      </c>
      <c r="R7" s="1"/>
      <c r="S7" s="1">
        <v>1</v>
      </c>
      <c r="T7" s="1"/>
      <c r="U7" s="9"/>
      <c r="V7" s="1"/>
      <c r="W7" s="1"/>
      <c r="X7" s="1"/>
      <c r="Y7" s="1"/>
      <c r="Z7" s="1"/>
      <c r="AA7" s="1"/>
      <c r="AB7" s="1" t="s">
        <v>303</v>
      </c>
      <c r="AC7" s="1"/>
      <c r="AD7" s="1"/>
      <c r="AE7" s="1"/>
      <c r="AF7" s="1"/>
      <c r="AG7" s="1"/>
    </row>
    <row r="8" spans="1:33">
      <c r="A8" s="3" t="s">
        <v>255</v>
      </c>
      <c r="B8" s="19" t="s">
        <v>312</v>
      </c>
      <c r="C8" s="1" t="s">
        <v>269</v>
      </c>
      <c r="D8" s="27">
        <v>44933</v>
      </c>
      <c r="E8" s="27" t="s">
        <v>309</v>
      </c>
      <c r="F8" s="19" t="s">
        <v>319</v>
      </c>
      <c r="G8" s="1" t="s">
        <v>329</v>
      </c>
      <c r="H8" s="1">
        <v>108</v>
      </c>
      <c r="I8" s="1">
        <v>90</v>
      </c>
      <c r="J8" s="23">
        <f t="shared" si="0"/>
        <v>162</v>
      </c>
      <c r="K8" s="4">
        <v>10000</v>
      </c>
      <c r="L8" s="1" t="s">
        <v>320</v>
      </c>
      <c r="M8" s="14">
        <v>0</v>
      </c>
      <c r="N8" s="1">
        <v>0</v>
      </c>
      <c r="O8" s="1">
        <v>0</v>
      </c>
      <c r="P8" s="1"/>
      <c r="Q8" s="1"/>
      <c r="R8" s="1"/>
      <c r="S8" s="1"/>
      <c r="T8" s="1"/>
      <c r="U8" s="9"/>
      <c r="V8" s="1"/>
      <c r="W8" s="1"/>
      <c r="X8" s="1"/>
      <c r="Y8" s="1"/>
      <c r="Z8" s="1"/>
      <c r="AA8" s="1"/>
      <c r="AB8" s="1" t="s">
        <v>321</v>
      </c>
      <c r="AC8" s="1"/>
      <c r="AD8" s="1"/>
      <c r="AE8" s="1"/>
      <c r="AF8" s="1"/>
      <c r="AG8" s="1"/>
    </row>
    <row r="9" spans="1:33">
      <c r="A9" s="3" t="s">
        <v>316</v>
      </c>
      <c r="B9" s="19" t="s">
        <v>312</v>
      </c>
      <c r="C9" s="1" t="s">
        <v>269</v>
      </c>
      <c r="D9" s="27">
        <v>44935</v>
      </c>
      <c r="E9" s="27" t="s">
        <v>309</v>
      </c>
      <c r="F9" s="19" t="s">
        <v>319</v>
      </c>
      <c r="G9" s="1" t="s">
        <v>329</v>
      </c>
      <c r="H9" s="1">
        <v>72</v>
      </c>
      <c r="I9" s="1">
        <v>90</v>
      </c>
      <c r="J9" s="23">
        <f t="shared" si="0"/>
        <v>108</v>
      </c>
      <c r="K9" s="4">
        <v>5000</v>
      </c>
      <c r="L9" s="1" t="s">
        <v>320</v>
      </c>
      <c r="M9" s="14">
        <v>0</v>
      </c>
      <c r="N9" s="1">
        <v>0</v>
      </c>
      <c r="O9" s="1"/>
      <c r="P9" s="1"/>
      <c r="Q9" s="1">
        <v>2</v>
      </c>
      <c r="R9" s="1"/>
      <c r="S9" s="1"/>
      <c r="T9" s="1"/>
      <c r="U9" s="9"/>
      <c r="V9" s="1"/>
      <c r="W9" s="1"/>
      <c r="X9" s="1"/>
      <c r="Y9" s="1"/>
      <c r="Z9" s="1"/>
      <c r="AA9" s="1"/>
      <c r="AB9" s="1"/>
      <c r="AC9" s="1"/>
      <c r="AD9" s="1"/>
      <c r="AE9" s="1"/>
      <c r="AF9" s="1"/>
      <c r="AG9" s="1"/>
    </row>
    <row r="10" spans="1:33">
      <c r="A10" s="3" t="s">
        <v>255</v>
      </c>
      <c r="B10" s="3" t="s">
        <v>312</v>
      </c>
      <c r="C10" s="1" t="s">
        <v>269</v>
      </c>
      <c r="D10" s="3">
        <v>45263</v>
      </c>
      <c r="E10" s="27" t="s">
        <v>309</v>
      </c>
      <c r="F10" s="1" t="s">
        <v>257</v>
      </c>
      <c r="G10" s="1" t="s">
        <v>329</v>
      </c>
      <c r="H10" s="1">
        <v>60</v>
      </c>
      <c r="I10" s="1">
        <v>60</v>
      </c>
      <c r="J10" s="23">
        <f t="shared" si="0"/>
        <v>60</v>
      </c>
      <c r="K10" s="4">
        <v>10000</v>
      </c>
      <c r="L10" s="1" t="s">
        <v>259</v>
      </c>
      <c r="M10" s="14">
        <f t="shared" ref="M10:M54" si="1">SUM(N10:Z10)</f>
        <v>2</v>
      </c>
      <c r="N10" s="1">
        <v>1</v>
      </c>
      <c r="O10" s="1"/>
      <c r="P10" s="1"/>
      <c r="Q10" s="1"/>
      <c r="R10" s="1">
        <v>1</v>
      </c>
      <c r="S10" s="1"/>
      <c r="T10" s="1"/>
      <c r="U10" s="9"/>
      <c r="V10" s="1"/>
      <c r="W10" s="1"/>
      <c r="X10" s="1"/>
      <c r="Y10" s="1"/>
      <c r="Z10" s="1"/>
      <c r="AA10" s="1"/>
      <c r="AB10" s="1" t="s">
        <v>411</v>
      </c>
      <c r="AC10" s="1"/>
      <c r="AD10" s="1"/>
      <c r="AE10" s="1"/>
      <c r="AF10" s="1"/>
      <c r="AG10" s="1"/>
    </row>
    <row r="11" spans="1:33">
      <c r="A11" s="3" t="s">
        <v>255</v>
      </c>
      <c r="B11" s="3" t="s">
        <v>312</v>
      </c>
      <c r="C11" s="1" t="s">
        <v>269</v>
      </c>
      <c r="D11" s="3">
        <v>45266</v>
      </c>
      <c r="E11" s="27" t="s">
        <v>309</v>
      </c>
      <c r="F11" s="1" t="s">
        <v>272</v>
      </c>
      <c r="G11" s="1" t="s">
        <v>329</v>
      </c>
      <c r="H11" s="1">
        <v>32</v>
      </c>
      <c r="I11" s="1">
        <v>60</v>
      </c>
      <c r="J11" s="23">
        <f t="shared" si="0"/>
        <v>32</v>
      </c>
      <c r="K11" s="4">
        <v>20000</v>
      </c>
      <c r="L11" s="1" t="s">
        <v>264</v>
      </c>
      <c r="M11" s="14">
        <f t="shared" si="1"/>
        <v>10</v>
      </c>
      <c r="N11" s="1">
        <v>1</v>
      </c>
      <c r="O11" s="1"/>
      <c r="P11" s="1"/>
      <c r="Q11" s="1"/>
      <c r="R11" s="1">
        <v>9</v>
      </c>
      <c r="S11" s="1"/>
      <c r="T11" s="1"/>
      <c r="U11" s="9"/>
      <c r="V11" s="1"/>
      <c r="W11" s="1"/>
      <c r="X11" s="1"/>
      <c r="Y11" s="1"/>
      <c r="Z11" s="1"/>
      <c r="AA11" s="1"/>
      <c r="AB11" s="1"/>
      <c r="AC11" s="1"/>
      <c r="AD11" s="1"/>
      <c r="AE11" s="1"/>
      <c r="AF11" s="1"/>
      <c r="AG11" s="1"/>
    </row>
    <row r="12" spans="1:33">
      <c r="A12" s="3" t="s">
        <v>281</v>
      </c>
      <c r="B12" s="3" t="s">
        <v>312</v>
      </c>
      <c r="C12" s="1" t="s">
        <v>269</v>
      </c>
      <c r="D12" s="3">
        <v>45266</v>
      </c>
      <c r="E12" s="27" t="s">
        <v>309</v>
      </c>
      <c r="F12" s="1" t="s">
        <v>276</v>
      </c>
      <c r="G12" s="1" t="s">
        <v>329</v>
      </c>
      <c r="H12" s="1">
        <v>7</v>
      </c>
      <c r="I12" s="1">
        <v>60</v>
      </c>
      <c r="J12" s="23">
        <f t="shared" si="0"/>
        <v>7</v>
      </c>
      <c r="K12" s="4">
        <v>20000</v>
      </c>
      <c r="L12" s="1" t="s">
        <v>264</v>
      </c>
      <c r="M12" s="14">
        <f t="shared" si="1"/>
        <v>10</v>
      </c>
      <c r="N12" s="1">
        <v>1</v>
      </c>
      <c r="O12" s="1"/>
      <c r="P12" s="1"/>
      <c r="Q12" s="1"/>
      <c r="R12" s="1">
        <v>9</v>
      </c>
      <c r="S12" s="1"/>
      <c r="T12" s="1"/>
      <c r="U12" s="9"/>
      <c r="V12" s="1"/>
      <c r="W12" s="1"/>
      <c r="X12" s="1"/>
      <c r="Y12" s="1"/>
      <c r="Z12" s="1"/>
      <c r="AA12" s="1"/>
      <c r="AB12" s="1"/>
      <c r="AC12" s="1"/>
      <c r="AD12" s="1"/>
      <c r="AE12" s="1"/>
      <c r="AF12" s="1"/>
      <c r="AG12" s="1"/>
    </row>
    <row r="13" spans="1:33">
      <c r="A13" s="3" t="s">
        <v>255</v>
      </c>
      <c r="B13" s="3" t="s">
        <v>312</v>
      </c>
      <c r="C13" s="1" t="s">
        <v>269</v>
      </c>
      <c r="D13" s="3">
        <v>45267</v>
      </c>
      <c r="E13" s="27" t="s">
        <v>309</v>
      </c>
      <c r="F13" s="1" t="s">
        <v>275</v>
      </c>
      <c r="G13" s="1" t="s">
        <v>329</v>
      </c>
      <c r="H13" s="1">
        <f>45+20</f>
        <v>65</v>
      </c>
      <c r="I13" s="1">
        <v>60</v>
      </c>
      <c r="J13" s="23">
        <f t="shared" si="0"/>
        <v>65</v>
      </c>
      <c r="K13" s="4">
        <v>10000</v>
      </c>
      <c r="L13" s="1" t="s">
        <v>264</v>
      </c>
      <c r="M13" s="14">
        <f t="shared" si="1"/>
        <v>12</v>
      </c>
      <c r="N13" s="1">
        <v>0</v>
      </c>
      <c r="O13" s="1"/>
      <c r="P13" s="1"/>
      <c r="Q13" s="1"/>
      <c r="R13" s="1">
        <v>12</v>
      </c>
      <c r="S13" s="1"/>
      <c r="T13" s="1"/>
      <c r="U13" s="9"/>
      <c r="V13" s="1"/>
      <c r="W13" s="1"/>
      <c r="X13" s="1"/>
      <c r="Y13" s="1"/>
      <c r="Z13" s="1"/>
      <c r="AA13" s="1"/>
      <c r="AB13" s="1"/>
      <c r="AC13" s="1"/>
      <c r="AD13" s="1"/>
      <c r="AE13" s="1"/>
      <c r="AF13" s="1"/>
      <c r="AG13" s="1"/>
    </row>
    <row r="14" spans="1:33">
      <c r="A14" s="3" t="s">
        <v>255</v>
      </c>
      <c r="B14" s="3" t="s">
        <v>312</v>
      </c>
      <c r="C14" s="1" t="s">
        <v>269</v>
      </c>
      <c r="D14" s="3">
        <v>45267</v>
      </c>
      <c r="E14" s="27" t="s">
        <v>309</v>
      </c>
      <c r="F14" s="1" t="s">
        <v>266</v>
      </c>
      <c r="G14" s="1" t="s">
        <v>329</v>
      </c>
      <c r="H14" s="1">
        <f>45+20</f>
        <v>65</v>
      </c>
      <c r="I14" s="1">
        <v>60</v>
      </c>
      <c r="J14" s="23">
        <f t="shared" si="0"/>
        <v>65</v>
      </c>
      <c r="K14" s="4">
        <v>5000</v>
      </c>
      <c r="L14" s="1" t="s">
        <v>264</v>
      </c>
      <c r="M14" s="14">
        <f t="shared" si="1"/>
        <v>2</v>
      </c>
      <c r="N14" s="1"/>
      <c r="O14" s="1">
        <v>1</v>
      </c>
      <c r="P14" s="1"/>
      <c r="Q14" s="1"/>
      <c r="R14" s="1">
        <v>1</v>
      </c>
      <c r="S14" s="1"/>
      <c r="T14" s="1"/>
      <c r="U14" s="9"/>
      <c r="V14" s="1"/>
      <c r="W14" s="1"/>
      <c r="X14" s="1"/>
      <c r="Y14" s="1"/>
      <c r="Z14" s="1"/>
      <c r="AA14" s="1"/>
      <c r="AB14" s="1"/>
      <c r="AC14" s="1"/>
      <c r="AD14" s="1"/>
      <c r="AE14" s="1"/>
      <c r="AF14" s="1"/>
      <c r="AG14" s="1"/>
    </row>
    <row r="15" spans="1:33">
      <c r="A15" s="3" t="s">
        <v>255</v>
      </c>
      <c r="B15" s="3" t="s">
        <v>312</v>
      </c>
      <c r="C15" s="1" t="s">
        <v>269</v>
      </c>
      <c r="D15" s="3">
        <v>45270</v>
      </c>
      <c r="E15" s="27" t="s">
        <v>309</v>
      </c>
      <c r="F15" s="1" t="s">
        <v>278</v>
      </c>
      <c r="G15" s="1" t="s">
        <v>329</v>
      </c>
      <c r="H15" s="1">
        <v>31</v>
      </c>
      <c r="I15" s="1">
        <v>60</v>
      </c>
      <c r="J15" s="23">
        <f t="shared" si="0"/>
        <v>31</v>
      </c>
      <c r="K15" s="4">
        <v>10000</v>
      </c>
      <c r="L15" s="1" t="s">
        <v>279</v>
      </c>
      <c r="M15" s="14">
        <f t="shared" si="1"/>
        <v>1</v>
      </c>
      <c r="N15" s="1"/>
      <c r="O15" s="1"/>
      <c r="P15" s="1"/>
      <c r="Q15" s="1"/>
      <c r="R15" s="1">
        <v>1</v>
      </c>
      <c r="S15" s="1"/>
      <c r="T15" s="1"/>
      <c r="U15" s="9"/>
      <c r="V15" s="1"/>
      <c r="W15" s="1"/>
      <c r="X15" s="1"/>
      <c r="Y15" s="1"/>
      <c r="Z15" s="1"/>
      <c r="AA15" s="1"/>
      <c r="AB15" s="1"/>
      <c r="AC15" s="1"/>
      <c r="AD15" s="1"/>
      <c r="AE15" s="1"/>
      <c r="AF15" s="1"/>
      <c r="AG15" s="1"/>
    </row>
    <row r="16" spans="1:33">
      <c r="A16" s="3" t="s">
        <v>255</v>
      </c>
      <c r="B16" s="3" t="s">
        <v>312</v>
      </c>
      <c r="C16" s="1" t="s">
        <v>269</v>
      </c>
      <c r="D16" s="3">
        <v>45270</v>
      </c>
      <c r="E16" s="27" t="s">
        <v>309</v>
      </c>
      <c r="F16" s="1" t="s">
        <v>280</v>
      </c>
      <c r="G16" s="1" t="s">
        <v>329</v>
      </c>
      <c r="H16" s="1">
        <v>22</v>
      </c>
      <c r="I16" s="1">
        <v>30</v>
      </c>
      <c r="J16" s="23">
        <f t="shared" si="0"/>
        <v>11</v>
      </c>
      <c r="K16" s="4">
        <v>5000</v>
      </c>
      <c r="L16" s="1" t="s">
        <v>279</v>
      </c>
      <c r="M16" s="14">
        <f t="shared" si="1"/>
        <v>0</v>
      </c>
      <c r="N16" s="1"/>
      <c r="O16" s="1">
        <v>0</v>
      </c>
      <c r="P16" s="1">
        <v>0</v>
      </c>
      <c r="Q16" s="1">
        <v>0</v>
      </c>
      <c r="R16" s="1">
        <v>0</v>
      </c>
      <c r="S16" s="1"/>
      <c r="T16" s="1"/>
      <c r="U16" s="9"/>
      <c r="V16" s="1"/>
      <c r="W16" s="1"/>
      <c r="X16" s="1"/>
      <c r="Y16" s="1"/>
      <c r="Z16" s="1"/>
      <c r="AA16" s="1"/>
      <c r="AB16" s="1"/>
      <c r="AC16" s="1"/>
      <c r="AD16" s="1"/>
      <c r="AE16" s="1"/>
      <c r="AF16" s="1"/>
      <c r="AG16" s="1"/>
    </row>
    <row r="17" spans="1:33">
      <c r="A17" s="3" t="s">
        <v>255</v>
      </c>
      <c r="B17" s="3" t="s">
        <v>312</v>
      </c>
      <c r="C17" s="1" t="s">
        <v>168</v>
      </c>
      <c r="D17" s="3">
        <v>45270</v>
      </c>
      <c r="E17" s="27" t="s">
        <v>309</v>
      </c>
      <c r="F17" s="1" t="s">
        <v>285</v>
      </c>
      <c r="G17" s="1" t="s">
        <v>329</v>
      </c>
      <c r="H17" s="1">
        <v>45</v>
      </c>
      <c r="I17" s="1">
        <v>60</v>
      </c>
      <c r="J17" s="23">
        <f t="shared" si="0"/>
        <v>45</v>
      </c>
      <c r="K17" s="4">
        <v>5000</v>
      </c>
      <c r="L17" s="1" t="s">
        <v>279</v>
      </c>
      <c r="M17" s="14">
        <f t="shared" si="1"/>
        <v>1</v>
      </c>
      <c r="N17" s="1"/>
      <c r="O17" s="1">
        <v>0</v>
      </c>
      <c r="P17" s="1">
        <v>0</v>
      </c>
      <c r="Q17" s="1">
        <v>0</v>
      </c>
      <c r="R17" s="1">
        <v>0</v>
      </c>
      <c r="S17" s="1"/>
      <c r="T17" s="1">
        <v>1</v>
      </c>
      <c r="U17" s="9"/>
      <c r="V17" s="1"/>
      <c r="W17" s="1"/>
      <c r="X17" s="1"/>
      <c r="Y17" s="1"/>
      <c r="Z17" s="1"/>
      <c r="AA17" s="1"/>
      <c r="AB17" s="1" t="s">
        <v>251</v>
      </c>
      <c r="AC17" s="1"/>
      <c r="AD17" s="1"/>
      <c r="AE17" s="1"/>
      <c r="AF17" s="1"/>
      <c r="AG17" s="1"/>
    </row>
    <row r="18" spans="1:33">
      <c r="A18" s="3" t="s">
        <v>255</v>
      </c>
      <c r="B18" s="3" t="s">
        <v>312</v>
      </c>
      <c r="C18" s="1" t="s">
        <v>269</v>
      </c>
      <c r="D18" s="3">
        <v>45264</v>
      </c>
      <c r="E18" s="27" t="s">
        <v>309</v>
      </c>
      <c r="F18" s="1" t="s">
        <v>263</v>
      </c>
      <c r="G18" s="1" t="s">
        <v>329</v>
      </c>
      <c r="H18" s="1">
        <v>78</v>
      </c>
      <c r="I18" s="1">
        <v>90</v>
      </c>
      <c r="J18" s="23">
        <f t="shared" si="0"/>
        <v>117</v>
      </c>
      <c r="K18" s="4">
        <v>10000</v>
      </c>
      <c r="L18" s="1" t="s">
        <v>264</v>
      </c>
      <c r="M18" s="14">
        <f t="shared" si="1"/>
        <v>14</v>
      </c>
      <c r="N18" s="1"/>
      <c r="O18" s="1"/>
      <c r="P18" s="1"/>
      <c r="Q18" s="1"/>
      <c r="R18" s="1">
        <v>14</v>
      </c>
      <c r="S18" s="1"/>
      <c r="T18" s="1"/>
      <c r="U18" s="9"/>
      <c r="V18" s="1"/>
      <c r="W18" s="1"/>
      <c r="X18" s="1"/>
      <c r="Y18" s="1"/>
      <c r="Z18" s="1"/>
      <c r="AA18" s="1"/>
      <c r="AB18" s="1" t="s">
        <v>265</v>
      </c>
      <c r="AC18" s="1"/>
      <c r="AD18" s="1"/>
      <c r="AE18" s="1"/>
      <c r="AF18" s="1"/>
      <c r="AG18" s="1"/>
    </row>
    <row r="19" spans="1:33">
      <c r="A19" s="3" t="s">
        <v>255</v>
      </c>
      <c r="B19" s="3" t="s">
        <v>312</v>
      </c>
      <c r="C19" s="1" t="s">
        <v>269</v>
      </c>
      <c r="D19" s="3">
        <v>45264</v>
      </c>
      <c r="E19" s="27" t="s">
        <v>309</v>
      </c>
      <c r="F19" s="1" t="s">
        <v>266</v>
      </c>
      <c r="G19" s="1" t="s">
        <v>329</v>
      </c>
      <c r="H19" s="1">
        <v>32</v>
      </c>
      <c r="I19" s="1">
        <v>60</v>
      </c>
      <c r="J19" s="23">
        <f t="shared" si="0"/>
        <v>32</v>
      </c>
      <c r="K19" s="4">
        <v>5000</v>
      </c>
      <c r="L19" s="1" t="s">
        <v>264</v>
      </c>
      <c r="M19" s="14">
        <f t="shared" si="1"/>
        <v>3</v>
      </c>
      <c r="N19" s="1"/>
      <c r="O19" s="1"/>
      <c r="P19" s="1"/>
      <c r="Q19" s="1"/>
      <c r="R19" s="1">
        <v>3</v>
      </c>
      <c r="S19" s="1"/>
      <c r="T19" s="1"/>
      <c r="U19" s="9"/>
      <c r="V19" s="1"/>
      <c r="W19" s="1"/>
      <c r="X19" s="1"/>
      <c r="Y19" s="1"/>
      <c r="Z19" s="1"/>
      <c r="AA19" s="1"/>
      <c r="AB19" s="1"/>
      <c r="AC19" s="1"/>
      <c r="AD19" s="1"/>
      <c r="AE19" s="1"/>
      <c r="AF19" s="1"/>
      <c r="AG19" s="1"/>
    </row>
    <row r="20" spans="1:33">
      <c r="A20" s="3" t="s">
        <v>256</v>
      </c>
      <c r="B20" s="3" t="s">
        <v>311</v>
      </c>
      <c r="C20" s="1" t="s">
        <v>269</v>
      </c>
      <c r="D20" s="3">
        <v>45263</v>
      </c>
      <c r="E20" s="27" t="s">
        <v>309</v>
      </c>
      <c r="F20" s="1" t="s">
        <v>253</v>
      </c>
      <c r="G20" s="1" t="s">
        <v>329</v>
      </c>
      <c r="H20" s="1">
        <v>28</v>
      </c>
      <c r="I20" s="1">
        <v>120</v>
      </c>
      <c r="J20" s="23">
        <f t="shared" si="0"/>
        <v>56</v>
      </c>
      <c r="K20" s="4">
        <v>10000</v>
      </c>
      <c r="L20" s="1" t="s">
        <v>277</v>
      </c>
      <c r="M20" s="14">
        <f t="shared" si="1"/>
        <v>2</v>
      </c>
      <c r="N20" s="1">
        <v>1</v>
      </c>
      <c r="O20" s="1"/>
      <c r="P20" s="1"/>
      <c r="Q20" s="1"/>
      <c r="R20" s="1"/>
      <c r="S20" s="1"/>
      <c r="T20" s="1"/>
      <c r="U20" s="9">
        <v>1</v>
      </c>
      <c r="V20" s="1"/>
      <c r="W20" s="1"/>
      <c r="X20" s="1"/>
      <c r="Y20" s="1"/>
      <c r="Z20" s="1"/>
      <c r="AA20" s="1"/>
      <c r="AB20" s="1" t="s">
        <v>254</v>
      </c>
      <c r="AC20" s="1"/>
      <c r="AD20" s="1"/>
      <c r="AE20" s="1"/>
      <c r="AF20" s="1"/>
      <c r="AG20" s="1"/>
    </row>
    <row r="21" spans="1:33">
      <c r="A21" s="3" t="s">
        <v>256</v>
      </c>
      <c r="B21" s="3" t="s">
        <v>311</v>
      </c>
      <c r="C21" s="1" t="s">
        <v>269</v>
      </c>
      <c r="D21" s="3">
        <v>45265</v>
      </c>
      <c r="E21" s="27" t="s">
        <v>309</v>
      </c>
      <c r="F21" s="1" t="s">
        <v>270</v>
      </c>
      <c r="G21" s="1" t="s">
        <v>329</v>
      </c>
      <c r="H21" s="1">
        <v>15</v>
      </c>
      <c r="I21" s="1">
        <v>60</v>
      </c>
      <c r="J21" s="23">
        <f t="shared" si="0"/>
        <v>15</v>
      </c>
      <c r="K21" s="4">
        <v>10000</v>
      </c>
      <c r="L21" s="1" t="s">
        <v>264</v>
      </c>
      <c r="M21" s="14">
        <f t="shared" si="1"/>
        <v>0</v>
      </c>
      <c r="N21" s="1">
        <v>0</v>
      </c>
      <c r="O21" s="1">
        <v>0</v>
      </c>
      <c r="P21" s="1">
        <v>0</v>
      </c>
      <c r="Q21" s="1">
        <v>0</v>
      </c>
      <c r="R21" s="1">
        <v>0</v>
      </c>
      <c r="S21" s="1"/>
      <c r="T21" s="1"/>
      <c r="U21" s="9"/>
      <c r="V21" s="1"/>
      <c r="W21" s="1"/>
      <c r="X21" s="1"/>
      <c r="Y21" s="1"/>
      <c r="Z21" s="1"/>
      <c r="AA21" s="1"/>
      <c r="AB21" s="1"/>
      <c r="AC21" s="1"/>
      <c r="AD21" s="1"/>
      <c r="AE21" s="1"/>
      <c r="AF21" s="1"/>
      <c r="AG21" s="1"/>
    </row>
    <row r="22" spans="1:33">
      <c r="A22" s="3" t="s">
        <v>256</v>
      </c>
      <c r="B22" s="3" t="s">
        <v>311</v>
      </c>
      <c r="C22" s="1" t="s">
        <v>269</v>
      </c>
      <c r="D22" s="3">
        <v>45266</v>
      </c>
      <c r="E22" s="27" t="s">
        <v>309</v>
      </c>
      <c r="F22" s="1" t="s">
        <v>273</v>
      </c>
      <c r="G22" s="1" t="s">
        <v>329</v>
      </c>
      <c r="H22" s="1">
        <v>25</v>
      </c>
      <c r="I22" s="1">
        <v>60</v>
      </c>
      <c r="J22" s="23">
        <f t="shared" si="0"/>
        <v>25</v>
      </c>
      <c r="K22" s="4">
        <v>5000</v>
      </c>
      <c r="L22" s="1" t="s">
        <v>264</v>
      </c>
      <c r="M22" s="14">
        <f t="shared" si="1"/>
        <v>1</v>
      </c>
      <c r="N22" s="1">
        <v>1</v>
      </c>
      <c r="O22" s="1"/>
      <c r="P22" s="1"/>
      <c r="Q22" s="1">
        <v>0</v>
      </c>
      <c r="R22" s="1"/>
      <c r="S22" s="1"/>
      <c r="T22" s="1"/>
      <c r="U22" s="9"/>
      <c r="V22" s="1"/>
      <c r="W22" s="1"/>
      <c r="X22" s="1"/>
      <c r="Y22" s="1"/>
      <c r="Z22" s="1"/>
      <c r="AA22" s="1"/>
      <c r="AB22" s="1"/>
      <c r="AC22" s="1"/>
      <c r="AD22" s="1"/>
      <c r="AE22" s="1"/>
      <c r="AF22" s="1"/>
      <c r="AG22" s="1"/>
    </row>
    <row r="23" spans="1:33">
      <c r="A23" s="3" t="s">
        <v>256</v>
      </c>
      <c r="B23" s="3" t="s">
        <v>311</v>
      </c>
      <c r="C23" s="1" t="s">
        <v>269</v>
      </c>
      <c r="D23" s="3">
        <v>45270</v>
      </c>
      <c r="E23" s="27" t="s">
        <v>309</v>
      </c>
      <c r="F23" s="1" t="s">
        <v>270</v>
      </c>
      <c r="G23" s="1" t="s">
        <v>329</v>
      </c>
      <c r="H23" s="1">
        <v>30</v>
      </c>
      <c r="I23" s="1">
        <v>60</v>
      </c>
      <c r="J23" s="23">
        <f t="shared" si="0"/>
        <v>30</v>
      </c>
      <c r="K23" s="4">
        <v>10000</v>
      </c>
      <c r="L23" s="1" t="s">
        <v>279</v>
      </c>
      <c r="M23" s="14">
        <f t="shared" si="1"/>
        <v>1</v>
      </c>
      <c r="N23" s="1"/>
      <c r="O23" s="1"/>
      <c r="P23" s="1"/>
      <c r="Q23" s="1"/>
      <c r="R23" s="1"/>
      <c r="S23" s="1"/>
      <c r="T23" s="1"/>
      <c r="U23" s="9">
        <v>1</v>
      </c>
      <c r="V23" s="1"/>
      <c r="W23" s="1"/>
      <c r="X23" s="1"/>
      <c r="Y23" s="1"/>
      <c r="Z23" s="1"/>
      <c r="AA23" s="1"/>
      <c r="AB23" s="1"/>
      <c r="AC23" s="1"/>
      <c r="AD23" s="1"/>
      <c r="AE23" s="1"/>
      <c r="AF23" s="1"/>
      <c r="AG23" s="1"/>
    </row>
    <row r="24" spans="1:33">
      <c r="A24" s="3" t="s">
        <v>256</v>
      </c>
      <c r="B24" s="3" t="s">
        <v>311</v>
      </c>
      <c r="C24" s="1" t="s">
        <v>168</v>
      </c>
      <c r="D24" s="3">
        <v>45270</v>
      </c>
      <c r="E24" s="27" t="s">
        <v>309</v>
      </c>
      <c r="F24" s="1" t="s">
        <v>266</v>
      </c>
      <c r="G24" s="1" t="s">
        <v>329</v>
      </c>
      <c r="H24" s="1">
        <v>26</v>
      </c>
      <c r="I24" s="1">
        <v>60</v>
      </c>
      <c r="J24" s="23">
        <f t="shared" si="0"/>
        <v>26</v>
      </c>
      <c r="K24" s="4">
        <v>5000</v>
      </c>
      <c r="L24" s="1" t="s">
        <v>279</v>
      </c>
      <c r="M24" s="14">
        <f t="shared" si="1"/>
        <v>0</v>
      </c>
      <c r="N24" s="1"/>
      <c r="O24" s="1">
        <v>0</v>
      </c>
      <c r="P24" s="1">
        <v>0</v>
      </c>
      <c r="Q24" s="1">
        <v>0</v>
      </c>
      <c r="R24" s="1">
        <v>0</v>
      </c>
      <c r="S24" s="1"/>
      <c r="T24" s="1">
        <v>0</v>
      </c>
      <c r="U24" s="9"/>
      <c r="V24" s="1"/>
      <c r="W24" s="1"/>
      <c r="X24" s="1"/>
      <c r="Y24" s="1"/>
      <c r="Z24" s="1"/>
      <c r="AA24" s="1"/>
      <c r="AB24" s="1" t="s">
        <v>251</v>
      </c>
      <c r="AC24" s="1"/>
      <c r="AD24" s="1"/>
      <c r="AE24" s="1"/>
      <c r="AF24" s="1"/>
      <c r="AG24" s="1"/>
    </row>
    <row r="25" spans="1:33">
      <c r="A25" s="3" t="s">
        <v>256</v>
      </c>
      <c r="B25" s="3" t="s">
        <v>311</v>
      </c>
      <c r="C25" s="1" t="s">
        <v>168</v>
      </c>
      <c r="D25" s="3">
        <v>45270</v>
      </c>
      <c r="E25" s="27" t="s">
        <v>309</v>
      </c>
      <c r="F25" s="1" t="s">
        <v>286</v>
      </c>
      <c r="G25" s="1" t="s">
        <v>329</v>
      </c>
      <c r="H25" s="1">
        <v>21</v>
      </c>
      <c r="I25" s="1">
        <v>60</v>
      </c>
      <c r="J25" s="23">
        <f t="shared" si="0"/>
        <v>21</v>
      </c>
      <c r="K25" s="4">
        <v>5000</v>
      </c>
      <c r="L25" s="1" t="s">
        <v>279</v>
      </c>
      <c r="M25" s="14">
        <f t="shared" si="1"/>
        <v>1</v>
      </c>
      <c r="N25" s="1"/>
      <c r="O25" s="1"/>
      <c r="P25" s="1"/>
      <c r="Q25" s="1"/>
      <c r="R25" s="1">
        <v>1</v>
      </c>
      <c r="S25" s="1"/>
      <c r="T25" s="1"/>
      <c r="U25" s="9"/>
      <c r="V25" s="1"/>
      <c r="W25" s="1"/>
      <c r="X25" s="1"/>
      <c r="Y25" s="1"/>
      <c r="Z25" s="1"/>
      <c r="AA25" s="1"/>
      <c r="AB25" s="1"/>
      <c r="AC25" s="1"/>
      <c r="AD25" s="1"/>
      <c r="AE25" s="1"/>
      <c r="AF25" s="1"/>
      <c r="AG25" s="1"/>
    </row>
    <row r="26" spans="1:33" s="2" customFormat="1">
      <c r="A26" s="33" t="s">
        <v>219</v>
      </c>
      <c r="B26" s="33" t="s">
        <v>158</v>
      </c>
      <c r="C26" s="33" t="s">
        <v>96</v>
      </c>
      <c r="D26" s="34">
        <v>45258</v>
      </c>
      <c r="E26" s="34" t="s">
        <v>309</v>
      </c>
      <c r="F26" s="33" t="s">
        <v>242</v>
      </c>
      <c r="G26" s="35" t="s">
        <v>330</v>
      </c>
      <c r="H26" s="33">
        <v>22</v>
      </c>
      <c r="I26" s="35">
        <v>60</v>
      </c>
      <c r="J26" s="36">
        <f t="shared" si="0"/>
        <v>22</v>
      </c>
      <c r="K26" s="37">
        <v>1000</v>
      </c>
      <c r="L26" s="33" t="s">
        <v>241</v>
      </c>
      <c r="M26" s="38">
        <f t="shared" si="1"/>
        <v>270</v>
      </c>
      <c r="N26" s="33"/>
      <c r="O26" s="33"/>
      <c r="P26" s="33"/>
      <c r="Q26" s="33"/>
      <c r="R26" s="33"/>
      <c r="S26" s="33"/>
      <c r="T26" s="33"/>
      <c r="U26" s="39">
        <v>0</v>
      </c>
      <c r="V26" s="33">
        <v>3</v>
      </c>
      <c r="W26" s="33"/>
      <c r="X26" s="33">
        <v>199</v>
      </c>
      <c r="Y26" s="33">
        <v>68</v>
      </c>
      <c r="Z26" s="33">
        <v>0</v>
      </c>
      <c r="AA26" s="33"/>
      <c r="AB26" s="33"/>
      <c r="AC26" s="33"/>
      <c r="AD26" s="33"/>
      <c r="AE26" s="33"/>
      <c r="AF26" s="33"/>
      <c r="AG26" s="33"/>
    </row>
    <row r="27" spans="1:33" s="2" customFormat="1">
      <c r="A27" s="33" t="s">
        <v>219</v>
      </c>
      <c r="B27" s="33" t="s">
        <v>158</v>
      </c>
      <c r="C27" s="33" t="s">
        <v>96</v>
      </c>
      <c r="D27" s="34">
        <v>45259</v>
      </c>
      <c r="E27" s="34" t="s">
        <v>309</v>
      </c>
      <c r="F27" s="33" t="s">
        <v>248</v>
      </c>
      <c r="G27" s="35" t="s">
        <v>330</v>
      </c>
      <c r="H27" s="33">
        <v>24</v>
      </c>
      <c r="I27" s="35">
        <v>60</v>
      </c>
      <c r="J27" s="36">
        <f t="shared" si="0"/>
        <v>24</v>
      </c>
      <c r="K27" s="37">
        <v>1000</v>
      </c>
      <c r="L27" s="33" t="s">
        <v>241</v>
      </c>
      <c r="M27" s="38">
        <f t="shared" si="1"/>
        <v>264</v>
      </c>
      <c r="N27" s="33"/>
      <c r="O27" s="33"/>
      <c r="P27" s="33"/>
      <c r="Q27" s="33"/>
      <c r="R27" s="33"/>
      <c r="S27" s="33"/>
      <c r="T27" s="33"/>
      <c r="U27" s="39">
        <v>0</v>
      </c>
      <c r="V27" s="33">
        <v>2</v>
      </c>
      <c r="W27" s="33">
        <v>1</v>
      </c>
      <c r="X27" s="33">
        <v>153</v>
      </c>
      <c r="Y27" s="33">
        <v>108</v>
      </c>
      <c r="Z27" s="33">
        <v>0</v>
      </c>
      <c r="AA27" s="33"/>
      <c r="AB27" s="33"/>
      <c r="AC27" s="33"/>
      <c r="AD27" s="33"/>
      <c r="AE27" s="33"/>
      <c r="AF27" s="33"/>
      <c r="AG27" s="33"/>
    </row>
    <row r="28" spans="1:33">
      <c r="A28" s="22" t="s">
        <v>297</v>
      </c>
      <c r="B28" s="22" t="s">
        <v>315</v>
      </c>
      <c r="C28" s="21" t="s">
        <v>96</v>
      </c>
      <c r="D28" s="20">
        <v>45631</v>
      </c>
      <c r="E28" s="20" t="s">
        <v>309</v>
      </c>
      <c r="F28" s="22" t="s">
        <v>284</v>
      </c>
      <c r="G28" s="24" t="s">
        <v>330</v>
      </c>
      <c r="H28" s="22">
        <v>30</v>
      </c>
      <c r="I28" s="22">
        <v>60</v>
      </c>
      <c r="J28" s="25">
        <f t="shared" si="0"/>
        <v>30</v>
      </c>
      <c r="K28" s="26">
        <v>15000</v>
      </c>
      <c r="L28" s="22" t="s">
        <v>299</v>
      </c>
      <c r="M28" s="15">
        <f t="shared" si="1"/>
        <v>356</v>
      </c>
      <c r="N28" s="22"/>
      <c r="O28" s="22"/>
      <c r="P28" s="22"/>
      <c r="Q28" s="22"/>
      <c r="R28" s="22"/>
      <c r="S28" s="22"/>
      <c r="T28" s="22"/>
      <c r="U28" s="17"/>
      <c r="V28" s="22">
        <v>14</v>
      </c>
      <c r="W28" s="22"/>
      <c r="X28" s="22">
        <f>72+28+24+26+16+29+11+38+15+12+4+9+16+1+1+21+12+2+1</f>
        <v>338</v>
      </c>
      <c r="Y28" s="22"/>
      <c r="Z28" s="22">
        <v>4</v>
      </c>
      <c r="AA28" s="22">
        <v>1</v>
      </c>
      <c r="AB28" s="22"/>
      <c r="AC28" s="22"/>
      <c r="AD28" s="22"/>
      <c r="AE28" s="22"/>
      <c r="AF28" s="22"/>
      <c r="AG28" s="22"/>
    </row>
    <row r="29" spans="1:33">
      <c r="A29" s="22" t="s">
        <v>297</v>
      </c>
      <c r="B29" s="22" t="s">
        <v>315</v>
      </c>
      <c r="C29" s="21" t="s">
        <v>96</v>
      </c>
      <c r="D29" s="20">
        <v>45632</v>
      </c>
      <c r="E29" s="20" t="s">
        <v>309</v>
      </c>
      <c r="F29" s="22" t="s">
        <v>284</v>
      </c>
      <c r="G29" s="24" t="s">
        <v>330</v>
      </c>
      <c r="H29" s="22">
        <v>36</v>
      </c>
      <c r="I29" s="22">
        <v>60</v>
      </c>
      <c r="J29" s="25">
        <f t="shared" si="0"/>
        <v>36</v>
      </c>
      <c r="K29" s="26">
        <v>15000</v>
      </c>
      <c r="L29" s="22" t="s">
        <v>304</v>
      </c>
      <c r="M29" s="15">
        <f t="shared" si="1"/>
        <v>479</v>
      </c>
      <c r="N29" s="22"/>
      <c r="O29" s="22"/>
      <c r="P29" s="22"/>
      <c r="Q29" s="22"/>
      <c r="R29" s="22"/>
      <c r="S29" s="22"/>
      <c r="T29" s="22"/>
      <c r="U29" s="17"/>
      <c r="V29" s="22">
        <f>1+5+1+2+1+1+1+5+5+1</f>
        <v>23</v>
      </c>
      <c r="W29" s="22"/>
      <c r="X29" s="22">
        <f>50+40+24+25+31+4+16+6+18+31+18+32+23+12+9+6+4+7+2+23+7+3+12+16+22+10</f>
        <v>451</v>
      </c>
      <c r="Y29" s="22"/>
      <c r="Z29" s="22">
        <f>1+1+1+2</f>
        <v>5</v>
      </c>
      <c r="AA29" s="22"/>
      <c r="AB29" s="22" t="s">
        <v>305</v>
      </c>
      <c r="AC29" s="22"/>
      <c r="AD29" s="22"/>
      <c r="AE29" s="22"/>
      <c r="AF29" s="22"/>
      <c r="AG29" s="22"/>
    </row>
    <row r="30" spans="1:33">
      <c r="A30" s="22" t="s">
        <v>255</v>
      </c>
      <c r="B30" s="21" t="s">
        <v>312</v>
      </c>
      <c r="C30" s="21" t="s">
        <v>96</v>
      </c>
      <c r="D30" s="28">
        <v>44932</v>
      </c>
      <c r="E30" s="28" t="s">
        <v>309</v>
      </c>
      <c r="F30" s="21" t="s">
        <v>317</v>
      </c>
      <c r="G30" s="24" t="s">
        <v>330</v>
      </c>
      <c r="H30" s="21">
        <v>109</v>
      </c>
      <c r="I30" s="24">
        <v>90</v>
      </c>
      <c r="J30" s="29">
        <f t="shared" si="0"/>
        <v>163.5</v>
      </c>
      <c r="K30" s="30">
        <v>10000</v>
      </c>
      <c r="L30" s="21" t="s">
        <v>318</v>
      </c>
      <c r="M30" s="15">
        <f t="shared" si="1"/>
        <v>18</v>
      </c>
      <c r="N30" s="21"/>
      <c r="O30" s="21"/>
      <c r="P30" s="21"/>
      <c r="Q30" s="21"/>
      <c r="R30" s="21"/>
      <c r="S30" s="21"/>
      <c r="T30" s="21"/>
      <c r="U30" s="10"/>
      <c r="V30" s="21">
        <v>18</v>
      </c>
      <c r="W30" s="21"/>
      <c r="X30" s="21"/>
      <c r="Y30" s="21"/>
      <c r="Z30" s="21"/>
      <c r="AA30" s="21"/>
      <c r="AB30" s="21"/>
      <c r="AC30" s="21"/>
      <c r="AD30" s="21"/>
      <c r="AE30" s="21"/>
      <c r="AF30" s="21"/>
      <c r="AG30" s="21"/>
    </row>
    <row r="31" spans="1:33">
      <c r="A31" s="22" t="s">
        <v>316</v>
      </c>
      <c r="B31" s="21" t="s">
        <v>312</v>
      </c>
      <c r="C31" s="21" t="s">
        <v>96</v>
      </c>
      <c r="D31" s="28">
        <v>44934</v>
      </c>
      <c r="E31" s="28" t="s">
        <v>309</v>
      </c>
      <c r="F31" s="21" t="s">
        <v>317</v>
      </c>
      <c r="G31" s="24" t="s">
        <v>330</v>
      </c>
      <c r="H31" s="21">
        <v>62</v>
      </c>
      <c r="I31" s="24">
        <v>90</v>
      </c>
      <c r="J31" s="29">
        <f t="shared" si="0"/>
        <v>93</v>
      </c>
      <c r="K31" s="30">
        <v>5000</v>
      </c>
      <c r="L31" s="21" t="s">
        <v>322</v>
      </c>
      <c r="M31" s="15">
        <f t="shared" si="1"/>
        <v>0</v>
      </c>
      <c r="N31" s="21"/>
      <c r="O31" s="21"/>
      <c r="P31" s="21"/>
      <c r="Q31" s="21"/>
      <c r="R31" s="21"/>
      <c r="S31" s="21"/>
      <c r="T31" s="21"/>
      <c r="U31" s="10"/>
      <c r="V31" s="21"/>
      <c r="W31" s="21"/>
      <c r="X31" s="21"/>
      <c r="Y31" s="21"/>
      <c r="Z31" s="21"/>
      <c r="AA31" s="21"/>
      <c r="AB31" s="21"/>
      <c r="AC31" s="21"/>
      <c r="AD31" s="21"/>
      <c r="AE31" s="21"/>
      <c r="AF31" s="21"/>
      <c r="AG31" s="21"/>
    </row>
    <row r="32" spans="1:33">
      <c r="A32" s="20" t="s">
        <v>255</v>
      </c>
      <c r="B32" s="20" t="s">
        <v>312</v>
      </c>
      <c r="C32" s="21" t="s">
        <v>96</v>
      </c>
      <c r="D32" s="20">
        <v>45263</v>
      </c>
      <c r="E32" s="28" t="s">
        <v>309</v>
      </c>
      <c r="F32" s="24" t="s">
        <v>261</v>
      </c>
      <c r="G32" s="24" t="s">
        <v>330</v>
      </c>
      <c r="H32" s="24">
        <v>38</v>
      </c>
      <c r="I32" s="24">
        <v>90</v>
      </c>
      <c r="J32" s="25">
        <f t="shared" si="0"/>
        <v>57</v>
      </c>
      <c r="K32" s="26">
        <v>10000</v>
      </c>
      <c r="L32" s="22" t="s">
        <v>262</v>
      </c>
      <c r="M32" s="15">
        <f t="shared" si="1"/>
        <v>108</v>
      </c>
      <c r="N32" s="22"/>
      <c r="O32" s="22"/>
      <c r="P32" s="22"/>
      <c r="Q32" s="22"/>
      <c r="R32" s="22"/>
      <c r="S32" s="22"/>
      <c r="T32" s="22"/>
      <c r="U32" s="17"/>
      <c r="V32" s="24">
        <v>3</v>
      </c>
      <c r="W32" s="22"/>
      <c r="X32" s="22">
        <f>5+1+7+6+8+6+1+3+2+23+6+1+11+7+4+5+8+1</f>
        <v>105</v>
      </c>
      <c r="Y32" s="22"/>
      <c r="Z32" s="22"/>
      <c r="AA32" s="22"/>
      <c r="AB32" s="22"/>
      <c r="AC32" s="22"/>
      <c r="AD32" s="22"/>
      <c r="AE32" s="22"/>
      <c r="AF32" s="22"/>
      <c r="AG32" s="22"/>
    </row>
    <row r="33" spans="1:33">
      <c r="A33" s="22" t="s">
        <v>255</v>
      </c>
      <c r="B33" s="20" t="s">
        <v>312</v>
      </c>
      <c r="C33" s="21" t="s">
        <v>96</v>
      </c>
      <c r="D33" s="20">
        <v>45264</v>
      </c>
      <c r="E33" s="28" t="s">
        <v>309</v>
      </c>
      <c r="F33" s="22" t="s">
        <v>267</v>
      </c>
      <c r="G33" s="24" t="s">
        <v>330</v>
      </c>
      <c r="H33" s="22">
        <v>24</v>
      </c>
      <c r="I33" s="22">
        <v>60</v>
      </c>
      <c r="J33" s="25">
        <f t="shared" si="0"/>
        <v>24</v>
      </c>
      <c r="K33" s="26">
        <v>10000</v>
      </c>
      <c r="L33" s="22" t="s">
        <v>268</v>
      </c>
      <c r="M33" s="15">
        <f t="shared" si="1"/>
        <v>77</v>
      </c>
      <c r="N33" s="22"/>
      <c r="O33" s="22"/>
      <c r="P33" s="22"/>
      <c r="Q33" s="22"/>
      <c r="R33" s="22"/>
      <c r="S33" s="22"/>
      <c r="T33" s="22"/>
      <c r="U33" s="17"/>
      <c r="V33" s="22">
        <v>5</v>
      </c>
      <c r="W33" s="22"/>
      <c r="X33" s="22">
        <f>17+5+2+10+8+2+1+2+2+9+1+1+1+3+2</f>
        <v>66</v>
      </c>
      <c r="Y33" s="22">
        <v>6</v>
      </c>
      <c r="Z33" s="22"/>
      <c r="AA33" s="22"/>
      <c r="AB33" s="22"/>
      <c r="AC33" s="22"/>
      <c r="AD33" s="22"/>
      <c r="AE33" s="22"/>
      <c r="AF33" s="22"/>
      <c r="AG33" s="22"/>
    </row>
    <row r="34" spans="1:33">
      <c r="A34" s="22" t="s">
        <v>281</v>
      </c>
      <c r="B34" s="20" t="s">
        <v>312</v>
      </c>
      <c r="C34" s="21" t="s">
        <v>96</v>
      </c>
      <c r="D34" s="20">
        <v>45264</v>
      </c>
      <c r="E34" s="28" t="s">
        <v>309</v>
      </c>
      <c r="F34" s="22" t="s">
        <v>267</v>
      </c>
      <c r="G34" s="24" t="s">
        <v>330</v>
      </c>
      <c r="H34" s="22">
        <v>7</v>
      </c>
      <c r="I34" s="22">
        <v>60</v>
      </c>
      <c r="J34" s="25">
        <f t="shared" si="0"/>
        <v>7</v>
      </c>
      <c r="K34" s="26">
        <v>10000</v>
      </c>
      <c r="L34" s="22" t="s">
        <v>268</v>
      </c>
      <c r="M34" s="15">
        <f t="shared" si="1"/>
        <v>66</v>
      </c>
      <c r="N34" s="22"/>
      <c r="O34" s="22"/>
      <c r="P34" s="22"/>
      <c r="Q34" s="22"/>
      <c r="R34" s="22"/>
      <c r="S34" s="22"/>
      <c r="T34" s="22"/>
      <c r="U34" s="17"/>
      <c r="V34" s="22">
        <v>2</v>
      </c>
      <c r="W34" s="22"/>
      <c r="X34" s="22">
        <f>1+8+17+8+14+2</f>
        <v>50</v>
      </c>
      <c r="Y34" s="22">
        <v>14</v>
      </c>
      <c r="Z34" s="22"/>
      <c r="AA34" s="22"/>
      <c r="AB34" s="22"/>
      <c r="AC34" s="22"/>
      <c r="AD34" s="22"/>
      <c r="AE34" s="22"/>
      <c r="AF34" s="22"/>
      <c r="AG34" s="22"/>
    </row>
    <row r="35" spans="1:33">
      <c r="A35" s="22" t="s">
        <v>281</v>
      </c>
      <c r="B35" s="22" t="s">
        <v>312</v>
      </c>
      <c r="C35" s="21" t="s">
        <v>96</v>
      </c>
      <c r="D35" s="20">
        <v>45270</v>
      </c>
      <c r="E35" s="28" t="s">
        <v>309</v>
      </c>
      <c r="F35" s="22" t="s">
        <v>282</v>
      </c>
      <c r="G35" s="24" t="s">
        <v>330</v>
      </c>
      <c r="H35" s="22">
        <v>17</v>
      </c>
      <c r="I35" s="22">
        <v>60</v>
      </c>
      <c r="J35" s="25">
        <f t="shared" si="0"/>
        <v>17</v>
      </c>
      <c r="K35" s="26">
        <v>10000</v>
      </c>
      <c r="L35" s="22" t="s">
        <v>283</v>
      </c>
      <c r="M35" s="15">
        <f t="shared" si="1"/>
        <v>174</v>
      </c>
      <c r="N35" s="22"/>
      <c r="O35" s="22"/>
      <c r="P35" s="22"/>
      <c r="Q35" s="22"/>
      <c r="R35" s="22"/>
      <c r="S35" s="22"/>
      <c r="T35" s="22"/>
      <c r="U35" s="17"/>
      <c r="V35" s="22">
        <v>3</v>
      </c>
      <c r="W35" s="22"/>
      <c r="X35" s="22">
        <f>2+24+18+4+13+15+7+3+16+7+2+33+1+25+1</f>
        <v>171</v>
      </c>
      <c r="Y35" s="22"/>
      <c r="Z35" s="22"/>
      <c r="AA35" s="22"/>
      <c r="AB35" s="22"/>
      <c r="AC35" s="22"/>
      <c r="AD35" s="22"/>
      <c r="AE35" s="22"/>
      <c r="AF35" s="22"/>
      <c r="AG35" s="22"/>
    </row>
    <row r="36" spans="1:33">
      <c r="A36" s="22" t="s">
        <v>287</v>
      </c>
      <c r="B36" s="22" t="s">
        <v>312</v>
      </c>
      <c r="C36" s="22" t="s">
        <v>168</v>
      </c>
      <c r="D36" s="20">
        <v>45270</v>
      </c>
      <c r="E36" s="28" t="s">
        <v>309</v>
      </c>
      <c r="F36" s="22" t="s">
        <v>288</v>
      </c>
      <c r="G36" s="24" t="s">
        <v>330</v>
      </c>
      <c r="H36" s="22">
        <v>15</v>
      </c>
      <c r="I36" s="22">
        <v>60</v>
      </c>
      <c r="J36" s="25">
        <f t="shared" ref="J36:J65" si="2">H36*I36/60</f>
        <v>15</v>
      </c>
      <c r="K36" s="26">
        <v>5000</v>
      </c>
      <c r="L36" s="22" t="s">
        <v>413</v>
      </c>
      <c r="M36" s="15">
        <f t="shared" si="1"/>
        <v>171</v>
      </c>
      <c r="N36" s="22"/>
      <c r="O36" s="22"/>
      <c r="P36" s="22"/>
      <c r="Q36" s="22"/>
      <c r="R36" s="22"/>
      <c r="S36" s="22"/>
      <c r="T36" s="22"/>
      <c r="U36" s="17"/>
      <c r="V36" s="22">
        <v>2</v>
      </c>
      <c r="W36" s="22"/>
      <c r="X36" s="22">
        <f>12+39+30+2+5+6+19+6+6+6+4+6+18+5</f>
        <v>164</v>
      </c>
      <c r="Y36" s="22">
        <v>5</v>
      </c>
      <c r="Z36" s="22"/>
      <c r="AA36" s="22"/>
      <c r="AB36" s="22"/>
      <c r="AC36" s="22"/>
      <c r="AD36" s="22"/>
      <c r="AE36" s="22"/>
      <c r="AF36" s="22"/>
      <c r="AG36" s="22"/>
    </row>
    <row r="37" spans="1:33">
      <c r="A37" s="20" t="s">
        <v>256</v>
      </c>
      <c r="B37" s="22" t="s">
        <v>311</v>
      </c>
      <c r="C37" s="21" t="s">
        <v>96</v>
      </c>
      <c r="D37" s="20">
        <v>45262</v>
      </c>
      <c r="E37" s="28" t="s">
        <v>309</v>
      </c>
      <c r="F37" s="24" t="s">
        <v>258</v>
      </c>
      <c r="G37" s="24" t="s">
        <v>330</v>
      </c>
      <c r="H37" s="24">
        <v>25</v>
      </c>
      <c r="I37" s="24">
        <v>90</v>
      </c>
      <c r="J37" s="25">
        <f t="shared" si="2"/>
        <v>37.5</v>
      </c>
      <c r="K37" s="26">
        <v>1500</v>
      </c>
      <c r="L37" s="21" t="s">
        <v>252</v>
      </c>
      <c r="M37" s="15">
        <f t="shared" si="1"/>
        <v>115</v>
      </c>
      <c r="N37" s="22"/>
      <c r="O37" s="22"/>
      <c r="P37" s="22"/>
      <c r="Q37" s="22"/>
      <c r="R37" s="22"/>
      <c r="S37" s="22"/>
      <c r="T37" s="22"/>
      <c r="U37" s="17"/>
      <c r="V37" s="24">
        <v>1</v>
      </c>
      <c r="W37" s="22"/>
      <c r="X37" s="22">
        <f>13+2+20+8+6+10+7+6+9+3+2+5</f>
        <v>91</v>
      </c>
      <c r="Y37" s="22">
        <f>14+9</f>
        <v>23</v>
      </c>
      <c r="Z37" s="22"/>
      <c r="AA37" s="22"/>
      <c r="AB37" s="24" t="s">
        <v>251</v>
      </c>
      <c r="AC37" s="22"/>
      <c r="AD37" s="22"/>
      <c r="AE37" s="22"/>
      <c r="AF37" s="22"/>
      <c r="AG37" s="22"/>
    </row>
    <row r="38" spans="1:33">
      <c r="A38" s="20" t="s">
        <v>256</v>
      </c>
      <c r="B38" s="22" t="s">
        <v>311</v>
      </c>
      <c r="C38" s="21" t="s">
        <v>96</v>
      </c>
      <c r="D38" s="20">
        <v>45263</v>
      </c>
      <c r="E38" s="28" t="s">
        <v>309</v>
      </c>
      <c r="F38" s="24" t="s">
        <v>260</v>
      </c>
      <c r="G38" s="24" t="s">
        <v>330</v>
      </c>
      <c r="H38" s="24">
        <v>18</v>
      </c>
      <c r="I38" s="24">
        <v>90</v>
      </c>
      <c r="J38" s="25">
        <f t="shared" si="2"/>
        <v>27</v>
      </c>
      <c r="K38" s="26">
        <v>1500</v>
      </c>
      <c r="L38" s="22" t="s">
        <v>262</v>
      </c>
      <c r="M38" s="15">
        <f t="shared" si="1"/>
        <v>22</v>
      </c>
      <c r="N38" s="22"/>
      <c r="O38" s="22"/>
      <c r="P38" s="22"/>
      <c r="Q38" s="22"/>
      <c r="R38" s="22"/>
      <c r="S38" s="22"/>
      <c r="T38" s="22"/>
      <c r="U38" s="17">
        <v>2</v>
      </c>
      <c r="V38" s="24">
        <v>0</v>
      </c>
      <c r="W38" s="22">
        <v>0</v>
      </c>
      <c r="X38" s="22">
        <f>11+9</f>
        <v>20</v>
      </c>
      <c r="Y38" s="22"/>
      <c r="Z38" s="22"/>
      <c r="AA38" s="22"/>
      <c r="AB38" s="22"/>
      <c r="AC38" s="22"/>
      <c r="AD38" s="22"/>
      <c r="AE38" s="22"/>
      <c r="AF38" s="22"/>
      <c r="AG38" s="22"/>
    </row>
    <row r="39" spans="1:33">
      <c r="A39" s="22" t="s">
        <v>256</v>
      </c>
      <c r="B39" s="22" t="s">
        <v>311</v>
      </c>
      <c r="C39" s="21" t="s">
        <v>96</v>
      </c>
      <c r="D39" s="20">
        <v>45265</v>
      </c>
      <c r="E39" s="28" t="s">
        <v>309</v>
      </c>
      <c r="F39" s="22" t="s">
        <v>271</v>
      </c>
      <c r="G39" s="24" t="s">
        <v>330</v>
      </c>
      <c r="H39" s="22">
        <v>21</v>
      </c>
      <c r="I39" s="22">
        <v>60</v>
      </c>
      <c r="J39" s="25">
        <f t="shared" si="2"/>
        <v>21</v>
      </c>
      <c r="K39" s="26">
        <v>1500</v>
      </c>
      <c r="L39" s="22" t="s">
        <v>262</v>
      </c>
      <c r="M39" s="15">
        <f t="shared" si="1"/>
        <v>50</v>
      </c>
      <c r="N39" s="22"/>
      <c r="O39" s="22"/>
      <c r="P39" s="22"/>
      <c r="Q39" s="22"/>
      <c r="R39" s="22"/>
      <c r="S39" s="22"/>
      <c r="T39" s="22"/>
      <c r="U39" s="17"/>
      <c r="V39" s="22">
        <v>3</v>
      </c>
      <c r="W39" s="22"/>
      <c r="X39" s="22">
        <f>5+8+5+2+2+1+2+3+1+1+1+11+5</f>
        <v>47</v>
      </c>
      <c r="Y39" s="22"/>
      <c r="Z39" s="22"/>
      <c r="AA39" s="22"/>
      <c r="AB39" s="22"/>
      <c r="AC39" s="22"/>
      <c r="AD39" s="22"/>
      <c r="AE39" s="22"/>
      <c r="AF39" s="22"/>
      <c r="AG39" s="22"/>
    </row>
    <row r="40" spans="1:33">
      <c r="A40" s="22" t="s">
        <v>256</v>
      </c>
      <c r="B40" s="22" t="s">
        <v>311</v>
      </c>
      <c r="C40" s="21" t="s">
        <v>96</v>
      </c>
      <c r="D40" s="20">
        <v>45266</v>
      </c>
      <c r="E40" s="28" t="s">
        <v>309</v>
      </c>
      <c r="F40" s="22" t="s">
        <v>274</v>
      </c>
      <c r="G40" s="24" t="s">
        <v>330</v>
      </c>
      <c r="H40" s="22">
        <v>49</v>
      </c>
      <c r="I40" s="22">
        <v>60</v>
      </c>
      <c r="J40" s="25">
        <f t="shared" si="2"/>
        <v>49</v>
      </c>
      <c r="K40" s="26">
        <v>1500</v>
      </c>
      <c r="L40" s="22" t="s">
        <v>268</v>
      </c>
      <c r="M40" s="15">
        <f t="shared" si="1"/>
        <v>140</v>
      </c>
      <c r="N40" s="22"/>
      <c r="O40" s="22"/>
      <c r="P40" s="22"/>
      <c r="Q40" s="22"/>
      <c r="R40" s="22"/>
      <c r="S40" s="22"/>
      <c r="T40" s="22"/>
      <c r="U40" s="17"/>
      <c r="V40" s="22">
        <v>10</v>
      </c>
      <c r="W40" s="22"/>
      <c r="X40" s="22">
        <f>2+8+6+4+4+2+3+7+9+7+1+18+17+4+3+9+3+3+1+2+6+4+2+2+1+2</f>
        <v>130</v>
      </c>
      <c r="Y40" s="22"/>
      <c r="Z40" s="22"/>
      <c r="AA40" s="22"/>
      <c r="AB40" s="22"/>
      <c r="AC40" s="22"/>
      <c r="AD40" s="22"/>
      <c r="AE40" s="22"/>
      <c r="AF40" s="22"/>
      <c r="AG40" s="22"/>
    </row>
    <row r="41" spans="1:33">
      <c r="A41" s="22" t="s">
        <v>256</v>
      </c>
      <c r="B41" s="22" t="s">
        <v>311</v>
      </c>
      <c r="C41" s="22" t="s">
        <v>168</v>
      </c>
      <c r="D41" s="20">
        <v>45269</v>
      </c>
      <c r="E41" s="28" t="s">
        <v>309</v>
      </c>
      <c r="F41" s="22" t="s">
        <v>284</v>
      </c>
      <c r="G41" s="24" t="s">
        <v>330</v>
      </c>
      <c r="H41" s="22">
        <v>14</v>
      </c>
      <c r="I41" s="22">
        <v>60</v>
      </c>
      <c r="J41" s="25">
        <f t="shared" si="2"/>
        <v>14</v>
      </c>
      <c r="K41" s="26">
        <v>1500</v>
      </c>
      <c r="L41" s="22" t="s">
        <v>262</v>
      </c>
      <c r="M41" s="15">
        <f t="shared" si="1"/>
        <v>59</v>
      </c>
      <c r="N41" s="22"/>
      <c r="O41" s="22"/>
      <c r="P41" s="22"/>
      <c r="Q41" s="22"/>
      <c r="R41" s="22"/>
      <c r="S41" s="22"/>
      <c r="T41" s="22"/>
      <c r="U41" s="17"/>
      <c r="V41" s="22"/>
      <c r="W41" s="22"/>
      <c r="X41" s="22">
        <f>17+20+6+11</f>
        <v>54</v>
      </c>
      <c r="Y41" s="22">
        <v>3</v>
      </c>
      <c r="Z41" s="22">
        <v>2</v>
      </c>
      <c r="AA41" s="22"/>
      <c r="AB41" s="22"/>
      <c r="AC41" s="22"/>
      <c r="AD41" s="22"/>
      <c r="AE41" s="22"/>
      <c r="AF41" s="22"/>
      <c r="AG41" s="22"/>
    </row>
    <row r="42" spans="1:33" s="54" customFormat="1">
      <c r="A42" s="55" t="s">
        <v>20</v>
      </c>
      <c r="B42" s="81" t="s">
        <v>314</v>
      </c>
      <c r="C42" s="63" t="s">
        <v>306</v>
      </c>
      <c r="D42" s="55">
        <v>44196</v>
      </c>
      <c r="E42" s="55" t="s">
        <v>308</v>
      </c>
      <c r="F42" s="63" t="s">
        <v>67</v>
      </c>
      <c r="G42" s="63" t="s">
        <v>329</v>
      </c>
      <c r="H42" s="63">
        <v>20</v>
      </c>
      <c r="I42" s="63">
        <v>30</v>
      </c>
      <c r="J42" s="82">
        <f t="shared" si="2"/>
        <v>10</v>
      </c>
      <c r="K42" s="57">
        <v>1000</v>
      </c>
      <c r="L42" s="56" t="s">
        <v>68</v>
      </c>
      <c r="M42" s="83">
        <f t="shared" si="1"/>
        <v>1</v>
      </c>
      <c r="N42" s="63">
        <v>0</v>
      </c>
      <c r="O42" s="63">
        <v>1</v>
      </c>
      <c r="P42" s="63">
        <v>0</v>
      </c>
      <c r="Q42" s="63" t="s">
        <v>332</v>
      </c>
      <c r="R42" s="63"/>
      <c r="S42" s="63"/>
      <c r="T42" s="63"/>
      <c r="U42" s="84"/>
      <c r="V42" s="63"/>
      <c r="W42" s="63"/>
      <c r="X42" s="63"/>
      <c r="Y42" s="63"/>
      <c r="Z42" s="63"/>
      <c r="AA42" s="63"/>
      <c r="AB42" s="63" t="s">
        <v>69</v>
      </c>
      <c r="AC42" s="63"/>
      <c r="AD42" s="63"/>
      <c r="AE42" s="63"/>
      <c r="AF42" s="63"/>
      <c r="AG42" s="63"/>
    </row>
    <row r="43" spans="1:33" s="46" customFormat="1">
      <c r="A43" s="77" t="s">
        <v>20</v>
      </c>
      <c r="B43" s="61" t="s">
        <v>314</v>
      </c>
      <c r="C43" s="58" t="s">
        <v>306</v>
      </c>
      <c r="D43" s="77">
        <v>44196</v>
      </c>
      <c r="E43" s="77" t="s">
        <v>308</v>
      </c>
      <c r="F43" s="58" t="s">
        <v>70</v>
      </c>
      <c r="G43" s="58" t="s">
        <v>329</v>
      </c>
      <c r="H43" s="58">
        <v>15</v>
      </c>
      <c r="I43" s="58">
        <v>30</v>
      </c>
      <c r="J43" s="78">
        <f t="shared" si="2"/>
        <v>7.5</v>
      </c>
      <c r="K43" s="60">
        <v>1000</v>
      </c>
      <c r="L43" s="59" t="s">
        <v>68</v>
      </c>
      <c r="M43" s="76">
        <f t="shared" si="1"/>
        <v>0</v>
      </c>
      <c r="N43" s="58">
        <v>0</v>
      </c>
      <c r="O43" s="58">
        <v>0</v>
      </c>
      <c r="P43" s="58">
        <v>0</v>
      </c>
      <c r="Q43" s="58" t="s">
        <v>332</v>
      </c>
      <c r="R43" s="58"/>
      <c r="S43" s="58"/>
      <c r="T43" s="58"/>
      <c r="U43" s="85"/>
      <c r="V43" s="58"/>
      <c r="W43" s="58"/>
      <c r="X43" s="58"/>
      <c r="Y43" s="58"/>
      <c r="Z43" s="58"/>
      <c r="AA43" s="58"/>
      <c r="AB43" s="58" t="s">
        <v>71</v>
      </c>
      <c r="AC43" s="58"/>
      <c r="AD43" s="58"/>
      <c r="AE43" s="58"/>
      <c r="AF43" s="58"/>
      <c r="AG43" s="58"/>
    </row>
    <row r="44" spans="1:33" s="46" customFormat="1">
      <c r="A44" s="77" t="s">
        <v>20</v>
      </c>
      <c r="B44" s="61" t="s">
        <v>314</v>
      </c>
      <c r="C44" s="58" t="s">
        <v>72</v>
      </c>
      <c r="D44" s="77">
        <v>44201</v>
      </c>
      <c r="E44" s="77" t="s">
        <v>308</v>
      </c>
      <c r="F44" s="58" t="s">
        <v>73</v>
      </c>
      <c r="G44" s="58" t="s">
        <v>329</v>
      </c>
      <c r="H44" s="58">
        <v>16</v>
      </c>
      <c r="I44" s="58">
        <v>30</v>
      </c>
      <c r="J44" s="78">
        <f t="shared" si="2"/>
        <v>8</v>
      </c>
      <c r="K44" s="60">
        <v>2000</v>
      </c>
      <c r="L44" s="59" t="s">
        <v>74</v>
      </c>
      <c r="M44" s="76">
        <f t="shared" si="1"/>
        <v>0</v>
      </c>
      <c r="N44" s="58">
        <v>0</v>
      </c>
      <c r="O44" s="58">
        <v>0</v>
      </c>
      <c r="P44" s="58">
        <v>0</v>
      </c>
      <c r="Q44" s="58" t="s">
        <v>332</v>
      </c>
      <c r="R44" s="58"/>
      <c r="S44" s="58"/>
      <c r="T44" s="58"/>
      <c r="U44" s="85"/>
      <c r="V44" s="58"/>
      <c r="W44" s="58"/>
      <c r="X44" s="58"/>
      <c r="Y44" s="58"/>
      <c r="Z44" s="58"/>
      <c r="AA44" s="58"/>
      <c r="AB44" s="58" t="s">
        <v>75</v>
      </c>
      <c r="AC44" s="58"/>
      <c r="AD44" s="58"/>
      <c r="AE44" s="58"/>
      <c r="AF44" s="58"/>
      <c r="AG44" s="58"/>
    </row>
    <row r="45" spans="1:33" s="46" customFormat="1">
      <c r="A45" s="77" t="s">
        <v>20</v>
      </c>
      <c r="B45" s="61" t="s">
        <v>314</v>
      </c>
      <c r="C45" s="58" t="s">
        <v>76</v>
      </c>
      <c r="D45" s="77">
        <v>44201</v>
      </c>
      <c r="E45" s="77" t="s">
        <v>308</v>
      </c>
      <c r="F45" s="58" t="s">
        <v>77</v>
      </c>
      <c r="G45" s="58" t="s">
        <v>329</v>
      </c>
      <c r="H45" s="58">
        <v>10</v>
      </c>
      <c r="I45" s="58">
        <v>30</v>
      </c>
      <c r="J45" s="78">
        <f t="shared" si="2"/>
        <v>5</v>
      </c>
      <c r="K45" s="60">
        <v>2000</v>
      </c>
      <c r="L45" s="59" t="s">
        <v>74</v>
      </c>
      <c r="M45" s="76">
        <f t="shared" si="1"/>
        <v>0</v>
      </c>
      <c r="N45" s="58">
        <v>0</v>
      </c>
      <c r="O45" s="58">
        <v>0</v>
      </c>
      <c r="P45" s="58">
        <v>0</v>
      </c>
      <c r="Q45" s="58" t="s">
        <v>332</v>
      </c>
      <c r="R45" s="58"/>
      <c r="S45" s="58"/>
      <c r="T45" s="58"/>
      <c r="U45" s="85"/>
      <c r="V45" s="58"/>
      <c r="W45" s="58"/>
      <c r="X45" s="58"/>
      <c r="Y45" s="58"/>
      <c r="Z45" s="58"/>
      <c r="AA45" s="58"/>
      <c r="AB45" s="58"/>
      <c r="AC45" s="58"/>
      <c r="AD45" s="58"/>
      <c r="AE45" s="58"/>
      <c r="AF45" s="58"/>
      <c r="AG45" s="58"/>
    </row>
    <row r="46" spans="1:33" s="61" customFormat="1">
      <c r="A46" s="77" t="s">
        <v>20</v>
      </c>
      <c r="B46" s="61" t="s">
        <v>314</v>
      </c>
      <c r="C46" s="58" t="s">
        <v>78</v>
      </c>
      <c r="D46" s="77">
        <v>44201</v>
      </c>
      <c r="E46" s="77" t="s">
        <v>308</v>
      </c>
      <c r="F46" s="62" t="s">
        <v>79</v>
      </c>
      <c r="G46" s="58" t="s">
        <v>329</v>
      </c>
      <c r="H46" s="58">
        <v>15</v>
      </c>
      <c r="I46" s="58">
        <v>30</v>
      </c>
      <c r="J46" s="78">
        <f t="shared" si="2"/>
        <v>7.5</v>
      </c>
      <c r="K46" s="60">
        <v>2000</v>
      </c>
      <c r="L46" s="59" t="s">
        <v>74</v>
      </c>
      <c r="M46" s="76">
        <f t="shared" si="1"/>
        <v>0</v>
      </c>
      <c r="N46" s="58">
        <v>0</v>
      </c>
      <c r="O46" s="58">
        <v>0</v>
      </c>
      <c r="P46" s="58">
        <v>0</v>
      </c>
      <c r="Q46" s="58" t="s">
        <v>332</v>
      </c>
      <c r="R46" s="58"/>
      <c r="S46" s="58"/>
      <c r="T46" s="58"/>
      <c r="U46" s="85"/>
      <c r="V46" s="58"/>
      <c r="W46" s="58"/>
      <c r="X46" s="58"/>
      <c r="Y46" s="58"/>
      <c r="Z46" s="58"/>
      <c r="AA46" s="58"/>
      <c r="AB46" s="58"/>
      <c r="AC46" s="58"/>
      <c r="AD46" s="58"/>
      <c r="AE46" s="58"/>
      <c r="AF46" s="58"/>
      <c r="AG46" s="58"/>
    </row>
    <row r="47" spans="1:33" s="61" customFormat="1">
      <c r="A47" s="77" t="s">
        <v>20</v>
      </c>
      <c r="B47" s="61" t="s">
        <v>314</v>
      </c>
      <c r="C47" s="58" t="s">
        <v>80</v>
      </c>
      <c r="D47" s="77">
        <v>44201</v>
      </c>
      <c r="E47" s="77" t="s">
        <v>308</v>
      </c>
      <c r="F47" s="58" t="s">
        <v>290</v>
      </c>
      <c r="G47" s="58" t="s">
        <v>329</v>
      </c>
      <c r="H47" s="58">
        <v>20</v>
      </c>
      <c r="I47" s="58">
        <v>60</v>
      </c>
      <c r="J47" s="78">
        <f t="shared" si="2"/>
        <v>20</v>
      </c>
      <c r="K47" s="60">
        <v>2000</v>
      </c>
      <c r="L47" s="58" t="s">
        <v>81</v>
      </c>
      <c r="M47" s="76">
        <f t="shared" si="1"/>
        <v>0</v>
      </c>
      <c r="N47" s="58">
        <v>0</v>
      </c>
      <c r="O47" s="58">
        <v>0</v>
      </c>
      <c r="P47" s="58">
        <v>0</v>
      </c>
      <c r="Q47" s="58" t="s">
        <v>332</v>
      </c>
      <c r="R47" s="58"/>
      <c r="S47" s="58"/>
      <c r="T47" s="58"/>
      <c r="U47" s="85"/>
      <c r="V47" s="58"/>
      <c r="W47" s="58"/>
      <c r="X47" s="58"/>
      <c r="Y47" s="58"/>
      <c r="Z47" s="58"/>
      <c r="AA47" s="58"/>
      <c r="AB47" s="58" t="s">
        <v>82</v>
      </c>
      <c r="AC47" s="58"/>
      <c r="AD47" s="58"/>
      <c r="AE47" s="58"/>
      <c r="AF47" s="58"/>
      <c r="AG47" s="58"/>
    </row>
    <row r="48" spans="1:33" s="61" customFormat="1">
      <c r="A48" s="77" t="s">
        <v>20</v>
      </c>
      <c r="B48" s="61" t="s">
        <v>314</v>
      </c>
      <c r="C48" s="58" t="s">
        <v>80</v>
      </c>
      <c r="D48" s="77">
        <v>44201</v>
      </c>
      <c r="E48" s="77" t="s">
        <v>308</v>
      </c>
      <c r="F48" s="58" t="s">
        <v>381</v>
      </c>
      <c r="G48" s="58" t="s">
        <v>329</v>
      </c>
      <c r="H48" s="58">
        <v>20</v>
      </c>
      <c r="I48" s="58">
        <v>60</v>
      </c>
      <c r="J48" s="78">
        <f t="shared" ref="J48:J49" si="3">H48*I48/60</f>
        <v>20</v>
      </c>
      <c r="K48" s="60">
        <v>2000</v>
      </c>
      <c r="L48" s="58" t="s">
        <v>81</v>
      </c>
      <c r="M48" s="76">
        <f t="shared" ref="M48:M49" si="4">SUM(N48:Z48)</f>
        <v>0</v>
      </c>
      <c r="N48" s="58">
        <v>0</v>
      </c>
      <c r="O48" s="58">
        <v>0</v>
      </c>
      <c r="P48" s="58">
        <v>0</v>
      </c>
      <c r="Q48" s="58" t="s">
        <v>332</v>
      </c>
      <c r="R48" s="58"/>
      <c r="S48" s="58"/>
      <c r="T48" s="58"/>
      <c r="U48" s="85"/>
      <c r="V48" s="58"/>
      <c r="W48" s="58"/>
      <c r="X48" s="58"/>
      <c r="Y48" s="58"/>
      <c r="Z48" s="58"/>
      <c r="AA48" s="58"/>
      <c r="AB48" s="58" t="s">
        <v>82</v>
      </c>
      <c r="AC48" s="58"/>
      <c r="AD48" s="58"/>
      <c r="AE48" s="58"/>
      <c r="AF48" s="58"/>
      <c r="AG48" s="58"/>
    </row>
    <row r="49" spans="1:33" s="61" customFormat="1">
      <c r="A49" s="77" t="s">
        <v>20</v>
      </c>
      <c r="B49" s="61" t="s">
        <v>314</v>
      </c>
      <c r="C49" s="58" t="s">
        <v>80</v>
      </c>
      <c r="D49" s="77">
        <v>44201</v>
      </c>
      <c r="E49" s="77" t="s">
        <v>308</v>
      </c>
      <c r="F49" s="58" t="s">
        <v>382</v>
      </c>
      <c r="G49" s="58" t="s">
        <v>329</v>
      </c>
      <c r="H49" s="58">
        <v>20</v>
      </c>
      <c r="I49" s="58">
        <v>60</v>
      </c>
      <c r="J49" s="78">
        <f t="shared" si="3"/>
        <v>20</v>
      </c>
      <c r="K49" s="60">
        <v>2000</v>
      </c>
      <c r="L49" s="58" t="s">
        <v>81</v>
      </c>
      <c r="M49" s="76">
        <f t="shared" si="4"/>
        <v>0</v>
      </c>
      <c r="N49" s="58">
        <v>0</v>
      </c>
      <c r="O49" s="58">
        <v>0</v>
      </c>
      <c r="P49" s="58">
        <v>0</v>
      </c>
      <c r="Q49" s="58" t="s">
        <v>332</v>
      </c>
      <c r="R49" s="58"/>
      <c r="S49" s="58"/>
      <c r="T49" s="58"/>
      <c r="U49" s="85"/>
      <c r="V49" s="58"/>
      <c r="W49" s="58"/>
      <c r="X49" s="58"/>
      <c r="Y49" s="58"/>
      <c r="Z49" s="58"/>
      <c r="AA49" s="58"/>
      <c r="AB49" s="58" t="s">
        <v>82</v>
      </c>
      <c r="AC49" s="58"/>
      <c r="AD49" s="58"/>
      <c r="AE49" s="58"/>
      <c r="AF49" s="58"/>
      <c r="AG49" s="58"/>
    </row>
    <row r="50" spans="1:33" s="61" customFormat="1">
      <c r="A50" s="77" t="s">
        <v>20</v>
      </c>
      <c r="B50" s="61" t="s">
        <v>314</v>
      </c>
      <c r="C50" s="58" t="s">
        <v>83</v>
      </c>
      <c r="D50" s="77">
        <v>44201</v>
      </c>
      <c r="E50" s="77" t="s">
        <v>308</v>
      </c>
      <c r="F50" s="58" t="s">
        <v>84</v>
      </c>
      <c r="G50" s="58" t="s">
        <v>329</v>
      </c>
      <c r="H50" s="58">
        <v>20</v>
      </c>
      <c r="I50" s="58">
        <v>60</v>
      </c>
      <c r="J50" s="78">
        <f t="shared" si="2"/>
        <v>20</v>
      </c>
      <c r="K50" s="60">
        <v>2000</v>
      </c>
      <c r="L50" s="58" t="s">
        <v>81</v>
      </c>
      <c r="M50" s="76">
        <f t="shared" si="1"/>
        <v>0</v>
      </c>
      <c r="N50" s="58">
        <v>0</v>
      </c>
      <c r="O50" s="58">
        <v>0</v>
      </c>
      <c r="P50" s="58">
        <v>0</v>
      </c>
      <c r="Q50" s="58" t="s">
        <v>332</v>
      </c>
      <c r="R50" s="58"/>
      <c r="S50" s="58"/>
      <c r="T50" s="58"/>
      <c r="U50" s="85"/>
      <c r="V50" s="58"/>
      <c r="W50" s="58"/>
      <c r="X50" s="58"/>
      <c r="Y50" s="58"/>
      <c r="Z50" s="58"/>
      <c r="AA50" s="58"/>
      <c r="AB50" s="58"/>
      <c r="AC50" s="58"/>
      <c r="AD50" s="58"/>
      <c r="AE50" s="58"/>
      <c r="AF50" s="58"/>
      <c r="AG50" s="58"/>
    </row>
    <row r="51" spans="1:33" s="61" customFormat="1">
      <c r="A51" s="77" t="s">
        <v>20</v>
      </c>
      <c r="B51" s="61" t="s">
        <v>314</v>
      </c>
      <c r="C51" s="58" t="s">
        <v>80</v>
      </c>
      <c r="D51" s="77">
        <v>44202</v>
      </c>
      <c r="E51" s="77" t="s">
        <v>308</v>
      </c>
      <c r="F51" s="58" t="s">
        <v>85</v>
      </c>
      <c r="G51" s="58" t="s">
        <v>329</v>
      </c>
      <c r="H51" s="58">
        <v>37</v>
      </c>
      <c r="I51" s="58">
        <v>60</v>
      </c>
      <c r="J51" s="78">
        <f t="shared" si="2"/>
        <v>37</v>
      </c>
      <c r="K51" s="60">
        <v>2000</v>
      </c>
      <c r="L51" s="58" t="s">
        <v>81</v>
      </c>
      <c r="M51" s="76">
        <f t="shared" si="1"/>
        <v>1</v>
      </c>
      <c r="N51" s="58">
        <v>0</v>
      </c>
      <c r="O51" s="58">
        <v>1</v>
      </c>
      <c r="P51" s="58">
        <v>0</v>
      </c>
      <c r="Q51" s="58" t="s">
        <v>332</v>
      </c>
      <c r="R51" s="58"/>
      <c r="S51" s="58"/>
      <c r="T51" s="58"/>
      <c r="U51" s="85"/>
      <c r="V51" s="58"/>
      <c r="W51" s="58"/>
      <c r="X51" s="58"/>
      <c r="Y51" s="58"/>
      <c r="Z51" s="58"/>
      <c r="AA51" s="58"/>
      <c r="AB51" s="58" t="s">
        <v>86</v>
      </c>
      <c r="AC51" s="58"/>
      <c r="AD51" s="58"/>
      <c r="AE51" s="58"/>
      <c r="AF51" s="58"/>
      <c r="AG51" s="58"/>
    </row>
    <row r="52" spans="1:33" s="61" customFormat="1">
      <c r="A52" s="77" t="s">
        <v>20</v>
      </c>
      <c r="B52" s="61" t="s">
        <v>314</v>
      </c>
      <c r="C52" s="58" t="s">
        <v>80</v>
      </c>
      <c r="D52" s="77">
        <v>44202</v>
      </c>
      <c r="E52" s="77" t="s">
        <v>308</v>
      </c>
      <c r="F52" s="58" t="s">
        <v>87</v>
      </c>
      <c r="G52" s="58" t="s">
        <v>329</v>
      </c>
      <c r="H52" s="58">
        <v>17</v>
      </c>
      <c r="I52" s="58">
        <v>60</v>
      </c>
      <c r="J52" s="78">
        <f t="shared" si="2"/>
        <v>17</v>
      </c>
      <c r="K52" s="60">
        <v>2000</v>
      </c>
      <c r="L52" s="58" t="s">
        <v>81</v>
      </c>
      <c r="M52" s="76">
        <f t="shared" si="1"/>
        <v>0</v>
      </c>
      <c r="N52" s="58">
        <v>0</v>
      </c>
      <c r="O52" s="58">
        <v>0</v>
      </c>
      <c r="P52" s="58">
        <v>0</v>
      </c>
      <c r="Q52" s="58" t="s">
        <v>332</v>
      </c>
      <c r="R52" s="58"/>
      <c r="S52" s="58"/>
      <c r="T52" s="58"/>
      <c r="U52" s="85"/>
      <c r="V52" s="58"/>
      <c r="W52" s="58"/>
      <c r="X52" s="58"/>
      <c r="Y52" s="58"/>
      <c r="Z52" s="58"/>
      <c r="AA52" s="58"/>
      <c r="AB52" s="58" t="s">
        <v>88</v>
      </c>
      <c r="AC52" s="58"/>
      <c r="AD52" s="58"/>
      <c r="AE52" s="58"/>
      <c r="AF52" s="58"/>
      <c r="AG52" s="58"/>
    </row>
    <row r="53" spans="1:33" s="46" customFormat="1">
      <c r="A53" s="77" t="s">
        <v>20</v>
      </c>
      <c r="B53" s="61" t="s">
        <v>314</v>
      </c>
      <c r="C53" s="58" t="s">
        <v>269</v>
      </c>
      <c r="D53" s="77">
        <v>44208</v>
      </c>
      <c r="E53" s="77" t="s">
        <v>308</v>
      </c>
      <c r="F53" s="58" t="s">
        <v>89</v>
      </c>
      <c r="G53" s="58" t="s">
        <v>329</v>
      </c>
      <c r="H53" s="58">
        <v>10</v>
      </c>
      <c r="I53" s="58">
        <v>90</v>
      </c>
      <c r="J53" s="78">
        <f t="shared" si="2"/>
        <v>15</v>
      </c>
      <c r="K53" s="60">
        <v>2000</v>
      </c>
      <c r="L53" s="58" t="s">
        <v>90</v>
      </c>
      <c r="M53" s="76">
        <f t="shared" si="1"/>
        <v>0</v>
      </c>
      <c r="N53" s="58">
        <v>0</v>
      </c>
      <c r="O53" s="58">
        <v>0</v>
      </c>
      <c r="P53" s="58">
        <v>0</v>
      </c>
      <c r="Q53" s="58" t="s">
        <v>332</v>
      </c>
      <c r="R53" s="58"/>
      <c r="S53" s="58"/>
      <c r="T53" s="58"/>
      <c r="U53" s="85"/>
      <c r="V53" s="58"/>
      <c r="W53" s="58"/>
      <c r="X53" s="58"/>
      <c r="Y53" s="58"/>
      <c r="Z53" s="58"/>
      <c r="AA53" s="58"/>
      <c r="AB53" s="58"/>
      <c r="AC53" s="58"/>
      <c r="AD53" s="58"/>
      <c r="AE53" s="58"/>
      <c r="AF53" s="58"/>
      <c r="AG53" s="58"/>
    </row>
    <row r="54" spans="1:33" s="46" customFormat="1">
      <c r="A54" s="77" t="s">
        <v>20</v>
      </c>
      <c r="B54" s="61" t="s">
        <v>314</v>
      </c>
      <c r="C54" s="58" t="s">
        <v>269</v>
      </c>
      <c r="D54" s="77">
        <v>44214</v>
      </c>
      <c r="E54" s="77" t="s">
        <v>308</v>
      </c>
      <c r="F54" s="58" t="s">
        <v>91</v>
      </c>
      <c r="G54" s="58" t="s">
        <v>329</v>
      </c>
      <c r="H54" s="58">
        <v>11</v>
      </c>
      <c r="I54" s="58">
        <v>60</v>
      </c>
      <c r="J54" s="78">
        <f t="shared" si="2"/>
        <v>11</v>
      </c>
      <c r="K54" s="60">
        <v>2000</v>
      </c>
      <c r="L54" s="58" t="s">
        <v>92</v>
      </c>
      <c r="M54" s="76">
        <f t="shared" si="1"/>
        <v>0</v>
      </c>
      <c r="N54" s="58">
        <v>0</v>
      </c>
      <c r="O54" s="58">
        <v>0</v>
      </c>
      <c r="P54" s="58">
        <v>0</v>
      </c>
      <c r="Q54" s="58" t="s">
        <v>332</v>
      </c>
      <c r="R54" s="58"/>
      <c r="S54" s="58"/>
      <c r="T54" s="58"/>
      <c r="U54" s="85"/>
      <c r="V54" s="58"/>
      <c r="W54" s="58"/>
      <c r="X54" s="58"/>
      <c r="Y54" s="58"/>
      <c r="Z54" s="58"/>
      <c r="AA54" s="58"/>
      <c r="AB54" s="58"/>
      <c r="AC54" s="58"/>
      <c r="AD54" s="58"/>
      <c r="AE54" s="58"/>
      <c r="AF54" s="58"/>
      <c r="AG54" s="58"/>
    </row>
    <row r="55" spans="1:33" s="22" customFormat="1">
      <c r="A55" s="3" t="s">
        <v>20</v>
      </c>
      <c r="B55" s="19" t="s">
        <v>314</v>
      </c>
      <c r="C55" s="1" t="s">
        <v>269</v>
      </c>
      <c r="D55" s="27">
        <v>44936</v>
      </c>
      <c r="E55" s="27" t="s">
        <v>308</v>
      </c>
      <c r="F55" s="19" t="s">
        <v>270</v>
      </c>
      <c r="G55" s="1" t="s">
        <v>329</v>
      </c>
      <c r="H55" s="1">
        <v>57</v>
      </c>
      <c r="I55" s="1">
        <v>60</v>
      </c>
      <c r="J55" s="23">
        <f t="shared" si="2"/>
        <v>57</v>
      </c>
      <c r="K55" s="4">
        <v>2000</v>
      </c>
      <c r="L55" s="1" t="s">
        <v>326</v>
      </c>
      <c r="M55" s="14">
        <v>0</v>
      </c>
      <c r="N55" s="1">
        <v>0</v>
      </c>
      <c r="O55" s="1"/>
      <c r="P55" s="1"/>
      <c r="Q55" s="1">
        <v>8</v>
      </c>
      <c r="R55" s="1"/>
      <c r="S55" s="1"/>
      <c r="T55" s="1"/>
      <c r="U55" s="9"/>
      <c r="V55" s="1"/>
      <c r="W55" s="1"/>
      <c r="X55" s="1"/>
      <c r="Y55" s="1"/>
      <c r="Z55" s="1"/>
      <c r="AA55" s="1"/>
      <c r="AB55" s="1"/>
      <c r="AC55" s="1"/>
      <c r="AD55" s="1"/>
      <c r="AE55" s="1"/>
      <c r="AF55" s="1"/>
      <c r="AG55" s="1"/>
    </row>
    <row r="56" spans="1:33" s="22" customFormat="1">
      <c r="A56" s="3" t="s">
        <v>20</v>
      </c>
      <c r="B56" s="19" t="s">
        <v>313</v>
      </c>
      <c r="C56" s="1" t="s">
        <v>269</v>
      </c>
      <c r="D56" s="27">
        <v>44936</v>
      </c>
      <c r="E56" s="27" t="s">
        <v>308</v>
      </c>
      <c r="F56" s="31" t="s">
        <v>325</v>
      </c>
      <c r="G56" s="1" t="s">
        <v>329</v>
      </c>
      <c r="H56" s="1">
        <v>230</v>
      </c>
      <c r="I56" s="1">
        <v>90</v>
      </c>
      <c r="J56" s="23">
        <f t="shared" si="2"/>
        <v>345</v>
      </c>
      <c r="K56" s="4">
        <v>25000</v>
      </c>
      <c r="L56" s="1" t="s">
        <v>326</v>
      </c>
      <c r="M56" s="14">
        <v>0</v>
      </c>
      <c r="N56" s="1">
        <v>0</v>
      </c>
      <c r="O56" s="1"/>
      <c r="P56" s="1"/>
      <c r="Q56" s="1">
        <v>5</v>
      </c>
      <c r="R56" s="1"/>
      <c r="S56" s="1"/>
      <c r="T56" s="1"/>
      <c r="U56" s="9"/>
      <c r="V56" s="1"/>
      <c r="W56" s="1"/>
      <c r="X56" s="1"/>
      <c r="Y56" s="1"/>
      <c r="Z56" s="1"/>
      <c r="AA56" s="1"/>
      <c r="AB56" s="1"/>
      <c r="AC56" s="1"/>
      <c r="AD56" s="1"/>
      <c r="AE56" s="1"/>
      <c r="AF56" s="1"/>
      <c r="AG56" s="1"/>
    </row>
    <row r="57" spans="1:33" s="22" customFormat="1">
      <c r="A57" s="3" t="s">
        <v>289</v>
      </c>
      <c r="B57" s="3" t="s">
        <v>313</v>
      </c>
      <c r="C57" s="1" t="s">
        <v>269</v>
      </c>
      <c r="D57" s="3">
        <v>45626</v>
      </c>
      <c r="E57" s="3" t="s">
        <v>308</v>
      </c>
      <c r="F57" s="1" t="s">
        <v>290</v>
      </c>
      <c r="G57" s="1" t="s">
        <v>329</v>
      </c>
      <c r="H57" s="1">
        <v>45</v>
      </c>
      <c r="I57" s="1">
        <v>60</v>
      </c>
      <c r="J57" s="23">
        <f t="shared" si="2"/>
        <v>45</v>
      </c>
      <c r="K57" s="4">
        <v>25000</v>
      </c>
      <c r="L57" s="1" t="s">
        <v>291</v>
      </c>
      <c r="M57" s="14">
        <f t="shared" ref="M57:M65" si="5">SUM(N57:Z57)</f>
        <v>8</v>
      </c>
      <c r="N57" s="1"/>
      <c r="O57" s="1">
        <v>2</v>
      </c>
      <c r="P57" s="1"/>
      <c r="Q57" s="1">
        <f>2+1+2+1</f>
        <v>6</v>
      </c>
      <c r="R57" s="1"/>
      <c r="S57" s="1"/>
      <c r="T57" s="1"/>
      <c r="U57" s="9"/>
      <c r="V57" s="1"/>
      <c r="W57" s="1"/>
      <c r="X57" s="1"/>
      <c r="Y57" s="1"/>
      <c r="Z57" s="1"/>
      <c r="AA57" s="1"/>
      <c r="AB57" s="1" t="s">
        <v>292</v>
      </c>
      <c r="AC57" s="1"/>
      <c r="AD57" s="1"/>
      <c r="AE57" s="1"/>
      <c r="AF57" s="1"/>
      <c r="AG57" s="1"/>
    </row>
    <row r="58" spans="1:33" s="22" customFormat="1">
      <c r="A58" s="3" t="s">
        <v>289</v>
      </c>
      <c r="B58" s="3" t="s">
        <v>314</v>
      </c>
      <c r="C58" s="1" t="s">
        <v>269</v>
      </c>
      <c r="D58" s="3">
        <v>45626</v>
      </c>
      <c r="E58" s="3" t="s">
        <v>308</v>
      </c>
      <c r="F58" s="1" t="s">
        <v>293</v>
      </c>
      <c r="G58" s="1" t="s">
        <v>329</v>
      </c>
      <c r="H58" s="1">
        <v>78</v>
      </c>
      <c r="I58" s="1">
        <v>60</v>
      </c>
      <c r="J58" s="23">
        <f>H58*I58/60</f>
        <v>78</v>
      </c>
      <c r="K58" s="4">
        <v>25000</v>
      </c>
      <c r="L58" s="1" t="s">
        <v>291</v>
      </c>
      <c r="M58" s="14">
        <f>SUM(N58:Z58)</f>
        <v>113</v>
      </c>
      <c r="N58" s="1">
        <v>0</v>
      </c>
      <c r="O58" s="1">
        <v>0</v>
      </c>
      <c r="P58" s="1">
        <v>0</v>
      </c>
      <c r="Q58" s="1">
        <f>10+9+4+4+3+4+8+6+5+1+3+3+8+8+7+7+9+5+2+5+2</f>
        <v>113</v>
      </c>
      <c r="R58" s="1"/>
      <c r="S58" s="1"/>
      <c r="T58" s="1"/>
      <c r="U58" s="9"/>
      <c r="V58" s="1"/>
      <c r="W58" s="1"/>
      <c r="X58" s="1"/>
      <c r="Y58" s="1"/>
      <c r="Z58" s="1"/>
      <c r="AA58" s="1"/>
      <c r="AB58" s="1"/>
      <c r="AC58" s="1"/>
      <c r="AD58" s="1"/>
      <c r="AE58" s="1"/>
      <c r="AF58" s="1"/>
      <c r="AG58" s="1"/>
    </row>
    <row r="59" spans="1:33" s="22" customFormat="1">
      <c r="A59" s="3" t="s">
        <v>20</v>
      </c>
      <c r="B59" s="3" t="s">
        <v>313</v>
      </c>
      <c r="C59" s="1" t="s">
        <v>269</v>
      </c>
      <c r="D59" s="3">
        <v>45628</v>
      </c>
      <c r="E59" s="3" t="s">
        <v>308</v>
      </c>
      <c r="F59" s="1" t="s">
        <v>294</v>
      </c>
      <c r="G59" s="1" t="s">
        <v>329</v>
      </c>
      <c r="H59" s="1">
        <v>50</v>
      </c>
      <c r="I59" s="1">
        <v>60</v>
      </c>
      <c r="J59" s="23">
        <f t="shared" si="2"/>
        <v>50</v>
      </c>
      <c r="K59" s="4">
        <v>25000</v>
      </c>
      <c r="L59" s="1" t="s">
        <v>295</v>
      </c>
      <c r="M59" s="14">
        <f t="shared" si="5"/>
        <v>27</v>
      </c>
      <c r="N59" s="1"/>
      <c r="O59" s="1">
        <v>2</v>
      </c>
      <c r="P59" s="1"/>
      <c r="Q59" s="1">
        <f>2+5+2+1+2+1+2+1+3+1+2+3+0</f>
        <v>25</v>
      </c>
      <c r="R59" s="1"/>
      <c r="S59" s="1"/>
      <c r="T59" s="1"/>
      <c r="U59" s="9"/>
      <c r="V59" s="1"/>
      <c r="W59" s="1"/>
      <c r="X59" s="1"/>
      <c r="Y59" s="1"/>
      <c r="Z59" s="1"/>
      <c r="AA59" s="1"/>
      <c r="AB59" s="1" t="s">
        <v>296</v>
      </c>
      <c r="AC59" s="1"/>
      <c r="AD59" s="1"/>
      <c r="AE59" s="1"/>
      <c r="AF59" s="1"/>
      <c r="AG59" s="1"/>
    </row>
    <row r="60" spans="1:33" s="22" customFormat="1">
      <c r="A60" s="20" t="s">
        <v>20</v>
      </c>
      <c r="B60" s="20" t="s">
        <v>314</v>
      </c>
      <c r="C60" s="24" t="s">
        <v>96</v>
      </c>
      <c r="D60" s="20">
        <v>44201</v>
      </c>
      <c r="E60" s="20" t="s">
        <v>308</v>
      </c>
      <c r="F60" s="24" t="s">
        <v>93</v>
      </c>
      <c r="G60" s="24" t="s">
        <v>330</v>
      </c>
      <c r="H60" s="24">
        <v>15</v>
      </c>
      <c r="I60" s="24">
        <v>90</v>
      </c>
      <c r="J60" s="25">
        <f t="shared" si="2"/>
        <v>22.5</v>
      </c>
      <c r="K60" s="26">
        <v>2000</v>
      </c>
      <c r="L60" s="79" t="s">
        <v>94</v>
      </c>
      <c r="M60" s="15">
        <f t="shared" si="5"/>
        <v>5</v>
      </c>
      <c r="N60" s="24"/>
      <c r="O60" s="24"/>
      <c r="P60" s="24"/>
      <c r="Q60" s="24"/>
      <c r="R60" s="24"/>
      <c r="S60" s="24"/>
      <c r="T60" s="24"/>
      <c r="U60" s="80">
        <v>0</v>
      </c>
      <c r="V60" s="24">
        <v>4</v>
      </c>
      <c r="W60" s="24"/>
      <c r="X60" s="24"/>
      <c r="Y60" s="24"/>
      <c r="Z60" s="24">
        <v>1</v>
      </c>
      <c r="AA60" s="24"/>
      <c r="AB60" s="24" t="s">
        <v>95</v>
      </c>
      <c r="AC60" s="24"/>
      <c r="AD60" s="24"/>
      <c r="AE60" s="24"/>
      <c r="AF60" s="24"/>
      <c r="AG60" s="24"/>
    </row>
    <row r="61" spans="1:33" s="22" customFormat="1">
      <c r="A61" s="20" t="s">
        <v>20</v>
      </c>
      <c r="B61" s="20" t="s">
        <v>314</v>
      </c>
      <c r="C61" s="24" t="s">
        <v>96</v>
      </c>
      <c r="D61" s="20">
        <v>44202</v>
      </c>
      <c r="E61" s="20" t="s">
        <v>308</v>
      </c>
      <c r="F61" s="24" t="s">
        <v>97</v>
      </c>
      <c r="G61" s="24" t="s">
        <v>330</v>
      </c>
      <c r="H61" s="24">
        <v>14</v>
      </c>
      <c r="I61" s="24">
        <v>90</v>
      </c>
      <c r="J61" s="25">
        <f t="shared" si="2"/>
        <v>21</v>
      </c>
      <c r="K61" s="26">
        <v>2000</v>
      </c>
      <c r="L61" s="79" t="s">
        <v>94</v>
      </c>
      <c r="M61" s="15">
        <f t="shared" si="5"/>
        <v>3</v>
      </c>
      <c r="N61" s="24"/>
      <c r="O61" s="24"/>
      <c r="P61" s="24"/>
      <c r="Q61" s="24"/>
      <c r="R61" s="24"/>
      <c r="S61" s="24"/>
      <c r="T61" s="24"/>
      <c r="U61" s="80">
        <v>0</v>
      </c>
      <c r="V61" s="24">
        <v>3</v>
      </c>
      <c r="W61" s="24"/>
      <c r="X61" s="24"/>
      <c r="Y61" s="24"/>
      <c r="Z61" s="24">
        <v>0</v>
      </c>
      <c r="AA61" s="24"/>
      <c r="AB61" s="24" t="s">
        <v>98</v>
      </c>
      <c r="AC61" s="24"/>
      <c r="AD61" s="24"/>
      <c r="AE61" s="24"/>
      <c r="AF61" s="24"/>
      <c r="AG61" s="24"/>
    </row>
    <row r="62" spans="1:33" s="22" customFormat="1">
      <c r="A62" s="20" t="s">
        <v>20</v>
      </c>
      <c r="B62" s="20" t="s">
        <v>314</v>
      </c>
      <c r="C62" s="24" t="s">
        <v>96</v>
      </c>
      <c r="D62" s="20">
        <v>44207</v>
      </c>
      <c r="E62" s="20" t="s">
        <v>308</v>
      </c>
      <c r="F62" s="24" t="s">
        <v>99</v>
      </c>
      <c r="G62" s="24" t="s">
        <v>330</v>
      </c>
      <c r="H62" s="24">
        <v>10</v>
      </c>
      <c r="I62" s="24">
        <v>90</v>
      </c>
      <c r="J62" s="25">
        <f t="shared" si="2"/>
        <v>15</v>
      </c>
      <c r="K62" s="26">
        <v>2000</v>
      </c>
      <c r="L62" s="79" t="s">
        <v>94</v>
      </c>
      <c r="M62" s="15">
        <f t="shared" si="5"/>
        <v>1</v>
      </c>
      <c r="N62" s="24"/>
      <c r="O62" s="24"/>
      <c r="P62" s="24"/>
      <c r="Q62" s="24"/>
      <c r="R62" s="24"/>
      <c r="S62" s="24"/>
      <c r="T62" s="24"/>
      <c r="U62" s="80">
        <v>0</v>
      </c>
      <c r="V62" s="24">
        <v>0</v>
      </c>
      <c r="W62" s="24"/>
      <c r="X62" s="24"/>
      <c r="Y62" s="24"/>
      <c r="Z62" s="24">
        <v>1</v>
      </c>
      <c r="AA62" s="24"/>
      <c r="AB62" s="24" t="s">
        <v>100</v>
      </c>
      <c r="AC62" s="24"/>
      <c r="AD62" s="24"/>
      <c r="AE62" s="24"/>
      <c r="AF62" s="24"/>
      <c r="AG62" s="24"/>
    </row>
    <row r="63" spans="1:33" s="22" customFormat="1">
      <c r="A63" s="20" t="s">
        <v>20</v>
      </c>
      <c r="B63" s="20" t="s">
        <v>314</v>
      </c>
      <c r="C63" s="24" t="s">
        <v>96</v>
      </c>
      <c r="D63" s="20">
        <v>44213</v>
      </c>
      <c r="E63" s="20" t="s">
        <v>308</v>
      </c>
      <c r="F63" s="24" t="s">
        <v>99</v>
      </c>
      <c r="G63" s="24" t="s">
        <v>330</v>
      </c>
      <c r="H63" s="24">
        <v>12</v>
      </c>
      <c r="I63" s="24">
        <v>90</v>
      </c>
      <c r="J63" s="25">
        <f t="shared" si="2"/>
        <v>18</v>
      </c>
      <c r="K63" s="26">
        <v>2000</v>
      </c>
      <c r="L63" s="79" t="s">
        <v>94</v>
      </c>
      <c r="M63" s="15">
        <f t="shared" si="5"/>
        <v>3</v>
      </c>
      <c r="N63" s="24"/>
      <c r="O63" s="24"/>
      <c r="P63" s="24"/>
      <c r="Q63" s="24"/>
      <c r="R63" s="24"/>
      <c r="S63" s="24"/>
      <c r="T63" s="24"/>
      <c r="U63" s="80">
        <v>0</v>
      </c>
      <c r="V63" s="24">
        <v>2</v>
      </c>
      <c r="W63" s="24"/>
      <c r="X63" s="24"/>
      <c r="Y63" s="24"/>
      <c r="Z63" s="24">
        <v>1</v>
      </c>
      <c r="AA63" s="24"/>
      <c r="AB63" s="24" t="s">
        <v>101</v>
      </c>
      <c r="AC63" s="24" t="s">
        <v>102</v>
      </c>
      <c r="AD63" s="24"/>
      <c r="AE63" s="24"/>
      <c r="AF63" s="24"/>
      <c r="AG63" s="24"/>
    </row>
    <row r="64" spans="1:33" s="22" customFormat="1">
      <c r="A64" s="21" t="s">
        <v>289</v>
      </c>
      <c r="B64" s="21" t="s">
        <v>313</v>
      </c>
      <c r="C64" s="21" t="s">
        <v>96</v>
      </c>
      <c r="D64" s="28">
        <v>44935</v>
      </c>
      <c r="E64" s="28" t="s">
        <v>308</v>
      </c>
      <c r="F64" s="21" t="s">
        <v>261</v>
      </c>
      <c r="G64" s="24" t="s">
        <v>330</v>
      </c>
      <c r="H64" s="21">
        <v>210</v>
      </c>
      <c r="I64" s="24">
        <v>90</v>
      </c>
      <c r="J64" s="29">
        <f t="shared" si="2"/>
        <v>315</v>
      </c>
      <c r="K64" s="30">
        <v>25000</v>
      </c>
      <c r="L64" s="21" t="s">
        <v>323</v>
      </c>
      <c r="M64" s="15">
        <f t="shared" si="5"/>
        <v>30</v>
      </c>
      <c r="N64" s="21"/>
      <c r="O64" s="21"/>
      <c r="P64" s="21"/>
      <c r="Q64" s="21"/>
      <c r="R64" s="21"/>
      <c r="S64" s="21"/>
      <c r="T64" s="21"/>
      <c r="U64" s="10"/>
      <c r="V64" s="21">
        <v>30</v>
      </c>
      <c r="W64" s="21"/>
      <c r="X64" s="21"/>
      <c r="Y64" s="21"/>
      <c r="Z64" s="21"/>
      <c r="AA64" s="21"/>
      <c r="AB64" s="21"/>
      <c r="AC64" s="21"/>
      <c r="AD64" s="21"/>
      <c r="AE64" s="21"/>
      <c r="AF64" s="21"/>
      <c r="AG64" s="21"/>
    </row>
    <row r="65" spans="1:21" s="22" customFormat="1">
      <c r="A65" s="22" t="s">
        <v>20</v>
      </c>
      <c r="B65" s="22" t="s">
        <v>314</v>
      </c>
      <c r="C65" s="21" t="s">
        <v>96</v>
      </c>
      <c r="D65" s="20">
        <v>45627</v>
      </c>
      <c r="E65" s="20" t="s">
        <v>308</v>
      </c>
      <c r="F65" s="22" t="s">
        <v>284</v>
      </c>
      <c r="G65" s="24" t="s">
        <v>330</v>
      </c>
      <c r="H65" s="22">
        <v>47</v>
      </c>
      <c r="I65" s="22">
        <v>60</v>
      </c>
      <c r="J65" s="25">
        <f t="shared" si="2"/>
        <v>47</v>
      </c>
      <c r="K65" s="26">
        <v>25000</v>
      </c>
      <c r="L65" s="22" t="s">
        <v>298</v>
      </c>
      <c r="M65" s="15">
        <f t="shared" si="5"/>
        <v>0</v>
      </c>
      <c r="U65" s="17"/>
    </row>
    <row r="66" spans="1:21" ht="15" customHeight="1">
      <c r="C66" s="19"/>
      <c r="D66" s="3"/>
      <c r="E66" s="3"/>
      <c r="G66" s="1"/>
      <c r="J66" s="23"/>
      <c r="K66" s="4"/>
      <c r="M66" s="14"/>
    </row>
    <row r="69" spans="1:21">
      <c r="U69"/>
    </row>
  </sheetData>
  <sortState xmlns:xlrd2="http://schemas.microsoft.com/office/spreadsheetml/2017/richdata2" ref="A42:AG65">
    <sortCondition ref="G42:G65"/>
  </sortState>
  <phoneticPr fontId="8" type="noConversion"/>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03306-A848-42D6-B297-E5738E8AA7A5}">
  <dimension ref="A1:AD69"/>
  <sheetViews>
    <sheetView zoomScale="70" zoomScaleNormal="70" workbookViewId="0">
      <pane xSplit="2" ySplit="3" topLeftCell="C55" activePane="bottomRight" state="frozen"/>
      <selection pane="topRight" activeCell="C1" sqref="C1"/>
      <selection pane="bottomLeft" activeCell="A4" sqref="A4"/>
      <selection pane="bottomRight" activeCell="G1" sqref="G1:G1048576"/>
    </sheetView>
  </sheetViews>
  <sheetFormatPr defaultRowHeight="14.4"/>
  <cols>
    <col min="1" max="1" width="29.88671875" style="47" customWidth="1"/>
    <col min="2" max="2" width="20.44140625" style="47" customWidth="1"/>
    <col min="3" max="3" width="17.33203125" style="47" customWidth="1"/>
    <col min="4" max="4" width="13.6640625" style="47" customWidth="1"/>
    <col min="5" max="5" width="11.5546875" style="47" customWidth="1"/>
    <col min="6" max="6" width="8.88671875" style="47"/>
    <col min="7" max="7" width="12.21875" style="47" customWidth="1"/>
    <col min="8" max="8" width="8.88671875" style="47"/>
    <col min="9" max="9" width="14.5546875" style="47" customWidth="1"/>
    <col min="10" max="10" width="10.109375" style="47" customWidth="1"/>
    <col min="11" max="11" width="9.6640625" style="47" customWidth="1"/>
    <col min="12" max="14" width="8.88671875" style="47"/>
    <col min="15" max="15" width="9.109375" style="47" customWidth="1"/>
    <col min="16" max="16" width="8.88671875" style="47"/>
    <col min="17" max="17" width="11" style="47" customWidth="1"/>
    <col min="18" max="18" width="8" style="47" customWidth="1"/>
    <col min="19" max="20" width="9.44140625" style="47" customWidth="1"/>
    <col min="21" max="21" width="8.44140625" style="47" customWidth="1"/>
    <col min="22" max="22" width="10.44140625" style="47" customWidth="1"/>
    <col min="23" max="16384" width="8.88671875" style="47"/>
  </cols>
  <sheetData>
    <row r="1" spans="1:30">
      <c r="A1" s="47" t="s">
        <v>0</v>
      </c>
      <c r="B1" s="64"/>
      <c r="C1" s="64"/>
      <c r="D1" s="64"/>
      <c r="AD1" s="65"/>
    </row>
    <row r="2" spans="1:30">
      <c r="O2" s="47" t="s">
        <v>1</v>
      </c>
    </row>
    <row r="3" spans="1:30" s="53" customFormat="1">
      <c r="A3" s="53" t="s">
        <v>2</v>
      </c>
      <c r="B3" s="53" t="s">
        <v>404</v>
      </c>
      <c r="D3" s="66" t="s">
        <v>3</v>
      </c>
      <c r="E3" s="53" t="s">
        <v>333</v>
      </c>
      <c r="F3" s="53" t="s">
        <v>4</v>
      </c>
      <c r="G3" s="53" t="s">
        <v>5</v>
      </c>
      <c r="H3" s="53" t="s">
        <v>6</v>
      </c>
      <c r="I3" s="53" t="s">
        <v>8</v>
      </c>
      <c r="J3" s="53" t="s">
        <v>232</v>
      </c>
      <c r="K3" s="53" t="s">
        <v>9</v>
      </c>
      <c r="L3" s="53" t="s">
        <v>10</v>
      </c>
      <c r="M3" s="53" t="s">
        <v>11</v>
      </c>
      <c r="N3" s="53" t="s">
        <v>12</v>
      </c>
      <c r="O3" s="53" t="s">
        <v>13</v>
      </c>
      <c r="P3" s="53" t="s">
        <v>14</v>
      </c>
      <c r="Q3" s="53" t="s">
        <v>379</v>
      </c>
      <c r="R3" s="53" t="s">
        <v>15</v>
      </c>
      <c r="S3" s="53" t="s">
        <v>16</v>
      </c>
      <c r="T3" s="53" t="s">
        <v>17</v>
      </c>
      <c r="U3" s="53" t="s">
        <v>18</v>
      </c>
      <c r="V3" s="53" t="s">
        <v>19</v>
      </c>
      <c r="W3" s="53" t="s">
        <v>370</v>
      </c>
    </row>
    <row r="4" spans="1:30">
      <c r="A4" s="47" t="s">
        <v>20</v>
      </c>
      <c r="B4" s="47" t="s">
        <v>406</v>
      </c>
      <c r="C4" s="47" t="s">
        <v>314</v>
      </c>
      <c r="D4" s="67">
        <v>44184</v>
      </c>
      <c r="E4" s="52" t="s">
        <v>29</v>
      </c>
      <c r="F4" s="47">
        <v>6</v>
      </c>
      <c r="G4" s="48">
        <v>30</v>
      </c>
      <c r="H4" s="48">
        <f>F4*G4/60</f>
        <v>3</v>
      </c>
      <c r="I4" s="49">
        <f t="shared" ref="I4:I36" si="0">SUM(K4:V4)</f>
        <v>0</v>
      </c>
      <c r="J4" s="49"/>
      <c r="K4" s="47">
        <v>0</v>
      </c>
      <c r="L4" s="49">
        <v>0</v>
      </c>
      <c r="M4" s="47">
        <v>0</v>
      </c>
      <c r="O4" s="47">
        <v>0</v>
      </c>
      <c r="P4" s="47">
        <v>0</v>
      </c>
      <c r="R4" s="47">
        <v>0</v>
      </c>
    </row>
    <row r="5" spans="1:30">
      <c r="A5" s="47" t="s">
        <v>20</v>
      </c>
      <c r="B5" s="68" t="s">
        <v>407</v>
      </c>
      <c r="C5" s="47" t="s">
        <v>314</v>
      </c>
      <c r="D5" s="67">
        <v>44184</v>
      </c>
      <c r="E5" s="68" t="s">
        <v>33</v>
      </c>
      <c r="F5" s="68">
        <v>3</v>
      </c>
      <c r="G5" s="69">
        <v>30</v>
      </c>
      <c r="H5" s="48">
        <f>F5*G5/60</f>
        <v>1.5</v>
      </c>
      <c r="I5" s="49">
        <f t="shared" si="0"/>
        <v>0</v>
      </c>
      <c r="J5" s="49"/>
      <c r="K5" s="68">
        <v>0</v>
      </c>
      <c r="L5" s="49">
        <v>0</v>
      </c>
      <c r="M5" s="68">
        <v>0</v>
      </c>
      <c r="N5" s="68"/>
      <c r="O5" s="68">
        <v>0</v>
      </c>
      <c r="P5" s="68">
        <v>0</v>
      </c>
      <c r="Q5" s="68"/>
      <c r="R5" s="47">
        <v>0</v>
      </c>
    </row>
    <row r="6" spans="1:30">
      <c r="A6" s="47" t="s">
        <v>20</v>
      </c>
      <c r="B6" s="47" t="s">
        <v>405</v>
      </c>
      <c r="C6" s="47" t="s">
        <v>314</v>
      </c>
      <c r="D6" s="67">
        <v>44184</v>
      </c>
      <c r="E6" s="47" t="s">
        <v>29</v>
      </c>
      <c r="F6" s="47">
        <v>1</v>
      </c>
      <c r="G6" s="48">
        <v>30</v>
      </c>
      <c r="H6" s="48">
        <f>F6*G6/60</f>
        <v>0.5</v>
      </c>
      <c r="I6" s="49">
        <f t="shared" si="0"/>
        <v>18</v>
      </c>
      <c r="J6" s="49"/>
      <c r="K6" s="47">
        <v>0</v>
      </c>
      <c r="L6" s="49">
        <v>0</v>
      </c>
      <c r="M6" s="47">
        <v>17</v>
      </c>
      <c r="O6" s="47">
        <v>0</v>
      </c>
      <c r="P6" s="47">
        <v>1</v>
      </c>
      <c r="R6" s="47">
        <v>0</v>
      </c>
    </row>
    <row r="7" spans="1:30">
      <c r="A7" s="47" t="s">
        <v>20</v>
      </c>
      <c r="B7" s="47" t="s">
        <v>339</v>
      </c>
      <c r="C7" s="47" t="s">
        <v>314</v>
      </c>
      <c r="D7" s="67">
        <v>44186</v>
      </c>
      <c r="E7" s="47" t="s">
        <v>29</v>
      </c>
      <c r="F7" s="47">
        <v>3</v>
      </c>
      <c r="G7" s="48">
        <v>30</v>
      </c>
      <c r="H7" s="48">
        <f>F7*G7/60</f>
        <v>1.5</v>
      </c>
      <c r="I7" s="49">
        <f t="shared" si="0"/>
        <v>28</v>
      </c>
      <c r="J7" s="49"/>
      <c r="K7" s="47">
        <v>0</v>
      </c>
      <c r="L7" s="49">
        <v>0</v>
      </c>
      <c r="M7" s="47">
        <v>28</v>
      </c>
      <c r="O7" s="47">
        <v>0</v>
      </c>
      <c r="P7" s="47">
        <v>0</v>
      </c>
      <c r="R7" s="47">
        <v>0</v>
      </c>
    </row>
    <row r="8" spans="1:30">
      <c r="A8" s="47" t="s">
        <v>20</v>
      </c>
      <c r="B8" s="47" t="s">
        <v>340</v>
      </c>
      <c r="C8" s="47" t="s">
        <v>314</v>
      </c>
      <c r="D8" s="67">
        <v>44186</v>
      </c>
      <c r="E8" s="47" t="s">
        <v>27</v>
      </c>
      <c r="F8" s="47">
        <v>2</v>
      </c>
      <c r="G8" s="48">
        <v>30</v>
      </c>
      <c r="H8" s="48">
        <f>F8*G8/60</f>
        <v>1</v>
      </c>
      <c r="I8" s="49">
        <f t="shared" si="0"/>
        <v>0</v>
      </c>
      <c r="J8" s="49"/>
      <c r="K8" s="47">
        <v>0</v>
      </c>
      <c r="L8" s="49">
        <v>0</v>
      </c>
      <c r="M8" s="47">
        <v>0</v>
      </c>
      <c r="O8" s="47">
        <v>0</v>
      </c>
      <c r="P8" s="47">
        <v>0</v>
      </c>
      <c r="R8" s="47">
        <v>0</v>
      </c>
    </row>
    <row r="9" spans="1:30">
      <c r="A9" s="47" t="s">
        <v>20</v>
      </c>
      <c r="B9" s="47" t="s">
        <v>341</v>
      </c>
      <c r="C9" s="47" t="s">
        <v>314</v>
      </c>
      <c r="D9" s="67">
        <v>44186</v>
      </c>
      <c r="E9" s="47" t="s">
        <v>334</v>
      </c>
      <c r="F9" s="47">
        <v>2</v>
      </c>
      <c r="G9" s="48">
        <v>30</v>
      </c>
      <c r="H9" s="48">
        <f>F9*G9/60</f>
        <v>1</v>
      </c>
      <c r="I9" s="49">
        <f t="shared" si="0"/>
        <v>2</v>
      </c>
      <c r="J9" s="49"/>
      <c r="K9" s="47">
        <v>0</v>
      </c>
      <c r="L9" s="49">
        <v>0</v>
      </c>
      <c r="M9" s="47">
        <v>2</v>
      </c>
      <c r="O9" s="47">
        <v>0</v>
      </c>
      <c r="P9" s="47">
        <v>0</v>
      </c>
      <c r="R9" s="47">
        <v>0</v>
      </c>
    </row>
    <row r="10" spans="1:30">
      <c r="A10" s="47" t="s">
        <v>20</v>
      </c>
      <c r="B10" s="47" t="s">
        <v>28</v>
      </c>
      <c r="C10" s="47" t="s">
        <v>314</v>
      </c>
      <c r="D10" s="67">
        <v>44188</v>
      </c>
      <c r="E10" s="70" t="s">
        <v>29</v>
      </c>
      <c r="F10" s="47">
        <v>1</v>
      </c>
      <c r="G10" s="71">
        <v>23.75</v>
      </c>
      <c r="H10" s="48">
        <f>F10*G10/60</f>
        <v>0.39583333333333331</v>
      </c>
      <c r="I10" s="49">
        <f t="shared" si="0"/>
        <v>10</v>
      </c>
      <c r="J10" s="49"/>
      <c r="K10" s="47">
        <v>0</v>
      </c>
      <c r="L10" s="49">
        <v>0</v>
      </c>
      <c r="M10" s="47">
        <v>9</v>
      </c>
      <c r="O10" s="47">
        <v>0</v>
      </c>
      <c r="P10" s="47">
        <v>1</v>
      </c>
      <c r="R10" s="47">
        <v>0</v>
      </c>
    </row>
    <row r="11" spans="1:30">
      <c r="A11" s="47" t="s">
        <v>20</v>
      </c>
      <c r="B11" s="47" t="s">
        <v>30</v>
      </c>
      <c r="C11" s="47" t="s">
        <v>314</v>
      </c>
      <c r="D11" s="67">
        <v>44188</v>
      </c>
      <c r="E11" s="70" t="s">
        <v>31</v>
      </c>
      <c r="F11" s="47">
        <v>1</v>
      </c>
      <c r="G11" s="71">
        <v>23.75</v>
      </c>
      <c r="H11" s="48">
        <f>F11*G11/60</f>
        <v>0.39583333333333331</v>
      </c>
      <c r="I11" s="49">
        <f t="shared" si="0"/>
        <v>8</v>
      </c>
      <c r="J11" s="49"/>
      <c r="K11" s="47">
        <v>0</v>
      </c>
      <c r="L11" s="49">
        <v>0</v>
      </c>
      <c r="M11" s="47">
        <v>8</v>
      </c>
      <c r="O11" s="47">
        <v>0</v>
      </c>
      <c r="P11" s="47">
        <v>0</v>
      </c>
      <c r="R11" s="47">
        <v>0</v>
      </c>
    </row>
    <row r="12" spans="1:30">
      <c r="A12" s="47" t="s">
        <v>20</v>
      </c>
      <c r="B12" s="68" t="s">
        <v>239</v>
      </c>
      <c r="C12" s="47" t="s">
        <v>314</v>
      </c>
      <c r="D12" s="67">
        <v>44188</v>
      </c>
      <c r="E12" s="68" t="s">
        <v>29</v>
      </c>
      <c r="F12" s="68">
        <v>2</v>
      </c>
      <c r="G12" s="69">
        <v>30</v>
      </c>
      <c r="H12" s="48">
        <f>F12*G12/60</f>
        <v>1</v>
      </c>
      <c r="I12" s="49">
        <f t="shared" si="0"/>
        <v>16</v>
      </c>
      <c r="J12" s="49"/>
      <c r="K12" s="68">
        <v>0</v>
      </c>
      <c r="L12" s="49">
        <v>0</v>
      </c>
      <c r="M12" s="68">
        <v>16</v>
      </c>
      <c r="N12" s="68"/>
      <c r="O12" s="68">
        <v>0</v>
      </c>
      <c r="P12" s="68">
        <v>0</v>
      </c>
      <c r="Q12" s="68"/>
      <c r="R12" s="47">
        <v>0</v>
      </c>
    </row>
    <row r="13" spans="1:30">
      <c r="A13" s="47" t="s">
        <v>20</v>
      </c>
      <c r="B13" s="68" t="s">
        <v>237</v>
      </c>
      <c r="C13" s="47" t="s">
        <v>314</v>
      </c>
      <c r="D13" s="67">
        <v>44188</v>
      </c>
      <c r="E13" s="72" t="s">
        <v>40</v>
      </c>
      <c r="F13" s="68">
        <v>6</v>
      </c>
      <c r="G13" s="71">
        <v>17.25</v>
      </c>
      <c r="H13" s="48">
        <f>F13*G13/60</f>
        <v>1.7250000000000001</v>
      </c>
      <c r="I13" s="49">
        <f t="shared" si="0"/>
        <v>9</v>
      </c>
      <c r="J13" s="49"/>
      <c r="K13" s="68">
        <v>0</v>
      </c>
      <c r="L13" s="49">
        <v>0</v>
      </c>
      <c r="M13" s="68">
        <v>9</v>
      </c>
      <c r="N13" s="68"/>
      <c r="O13" s="68">
        <v>0</v>
      </c>
      <c r="P13" s="68">
        <v>0</v>
      </c>
      <c r="Q13" s="68"/>
      <c r="R13" s="47">
        <v>0</v>
      </c>
    </row>
    <row r="14" spans="1:30">
      <c r="A14" s="47" t="s">
        <v>20</v>
      </c>
      <c r="B14" s="68" t="s">
        <v>21</v>
      </c>
      <c r="C14" s="47" t="s">
        <v>314</v>
      </c>
      <c r="D14" s="67">
        <v>44188</v>
      </c>
      <c r="E14" s="68" t="s">
        <v>40</v>
      </c>
      <c r="F14" s="68">
        <v>2</v>
      </c>
      <c r="G14" s="69">
        <v>30</v>
      </c>
      <c r="H14" s="48">
        <f>F14*G14/60</f>
        <v>1</v>
      </c>
      <c r="I14" s="49">
        <f t="shared" si="0"/>
        <v>4</v>
      </c>
      <c r="J14" s="49"/>
      <c r="K14" s="68">
        <v>0</v>
      </c>
      <c r="L14" s="49">
        <v>0</v>
      </c>
      <c r="M14" s="68">
        <v>3</v>
      </c>
      <c r="N14" s="68"/>
      <c r="O14" s="68">
        <v>0</v>
      </c>
      <c r="P14" s="68">
        <v>1</v>
      </c>
      <c r="Q14" s="68"/>
      <c r="R14" s="68">
        <v>0</v>
      </c>
      <c r="S14" s="68"/>
      <c r="T14" s="68"/>
      <c r="U14" s="68"/>
      <c r="V14" s="68"/>
      <c r="W14" s="68"/>
    </row>
    <row r="15" spans="1:30">
      <c r="A15" s="47" t="s">
        <v>20</v>
      </c>
      <c r="B15" s="68" t="s">
        <v>238</v>
      </c>
      <c r="C15" s="47" t="s">
        <v>314</v>
      </c>
      <c r="D15" s="67">
        <v>44188</v>
      </c>
      <c r="E15" s="68" t="s">
        <v>31</v>
      </c>
      <c r="F15" s="68">
        <v>6</v>
      </c>
      <c r="G15" s="69">
        <v>30</v>
      </c>
      <c r="H15" s="48">
        <f>F15*G15/60</f>
        <v>3</v>
      </c>
      <c r="I15" s="49">
        <f t="shared" si="0"/>
        <v>26</v>
      </c>
      <c r="J15" s="49"/>
      <c r="K15" s="68">
        <v>0</v>
      </c>
      <c r="L15" s="49">
        <v>0</v>
      </c>
      <c r="M15" s="68">
        <v>26</v>
      </c>
      <c r="N15" s="68"/>
      <c r="O15" s="68">
        <v>0</v>
      </c>
      <c r="P15" s="68">
        <v>0</v>
      </c>
      <c r="Q15" s="68"/>
      <c r="R15" s="47">
        <v>0</v>
      </c>
    </row>
    <row r="16" spans="1:30">
      <c r="A16" s="47" t="s">
        <v>20</v>
      </c>
      <c r="B16" s="47" t="s">
        <v>342</v>
      </c>
      <c r="C16" s="47" t="s">
        <v>314</v>
      </c>
      <c r="D16" s="67">
        <v>44188</v>
      </c>
      <c r="E16" s="70" t="s">
        <v>31</v>
      </c>
      <c r="F16" s="47">
        <v>1</v>
      </c>
      <c r="G16" s="48">
        <v>30</v>
      </c>
      <c r="H16" s="48">
        <f>F16*G16/60</f>
        <v>0.5</v>
      </c>
      <c r="I16" s="49">
        <f t="shared" si="0"/>
        <v>13</v>
      </c>
      <c r="J16" s="49"/>
      <c r="K16" s="47">
        <v>0</v>
      </c>
      <c r="L16" s="49">
        <v>0</v>
      </c>
      <c r="M16" s="47">
        <v>13</v>
      </c>
      <c r="O16" s="47">
        <v>0</v>
      </c>
      <c r="P16" s="47">
        <v>0</v>
      </c>
      <c r="R16" s="47">
        <v>0</v>
      </c>
    </row>
    <row r="17" spans="1:23">
      <c r="A17" s="47" t="s">
        <v>20</v>
      </c>
      <c r="B17" s="47" t="s">
        <v>25</v>
      </c>
      <c r="C17" s="47" t="s">
        <v>314</v>
      </c>
      <c r="D17" s="67">
        <v>44188</v>
      </c>
      <c r="E17" s="70" t="s">
        <v>29</v>
      </c>
      <c r="F17" s="47">
        <v>3</v>
      </c>
      <c r="G17" s="71">
        <v>16</v>
      </c>
      <c r="H17" s="48">
        <f>F17*G17/60</f>
        <v>0.8</v>
      </c>
      <c r="I17" s="49">
        <f t="shared" si="0"/>
        <v>4</v>
      </c>
      <c r="J17" s="49"/>
      <c r="K17" s="47">
        <v>0</v>
      </c>
      <c r="L17" s="49">
        <v>0</v>
      </c>
      <c r="M17" s="47">
        <v>4</v>
      </c>
      <c r="O17" s="47">
        <v>0</v>
      </c>
      <c r="P17" s="47">
        <v>0</v>
      </c>
      <c r="R17" s="47">
        <v>0</v>
      </c>
    </row>
    <row r="18" spans="1:23">
      <c r="A18" s="47" t="s">
        <v>20</v>
      </c>
      <c r="B18" s="47" t="s">
        <v>26</v>
      </c>
      <c r="C18" s="47" t="s">
        <v>314</v>
      </c>
      <c r="D18" s="67">
        <v>44188</v>
      </c>
      <c r="E18" s="47" t="s">
        <v>27</v>
      </c>
      <c r="F18" s="47">
        <v>1</v>
      </c>
      <c r="G18" s="71">
        <v>23.75</v>
      </c>
      <c r="H18" s="48">
        <f>F18*G18/60</f>
        <v>0.39583333333333331</v>
      </c>
      <c r="I18" s="49">
        <f t="shared" si="0"/>
        <v>9</v>
      </c>
      <c r="J18" s="49"/>
      <c r="K18" s="47">
        <v>0</v>
      </c>
      <c r="L18" s="49">
        <v>0</v>
      </c>
      <c r="M18" s="47">
        <v>9</v>
      </c>
      <c r="O18" s="47">
        <v>0</v>
      </c>
      <c r="P18" s="47">
        <v>0</v>
      </c>
      <c r="R18" s="47">
        <v>0</v>
      </c>
    </row>
    <row r="19" spans="1:23">
      <c r="A19" s="47" t="s">
        <v>20</v>
      </c>
      <c r="B19" s="68" t="s">
        <v>23</v>
      </c>
      <c r="C19" s="47" t="s">
        <v>314</v>
      </c>
      <c r="D19" s="67">
        <v>44192</v>
      </c>
      <c r="E19" s="68" t="s">
        <v>35</v>
      </c>
      <c r="F19" s="68">
        <v>3</v>
      </c>
      <c r="G19" s="69">
        <v>30</v>
      </c>
      <c r="H19" s="48">
        <f>F19*G19/60</f>
        <v>1.5</v>
      </c>
      <c r="I19" s="49">
        <f t="shared" si="0"/>
        <v>11</v>
      </c>
      <c r="J19" s="49"/>
      <c r="K19" s="68">
        <v>0</v>
      </c>
      <c r="L19" s="49">
        <v>0</v>
      </c>
      <c r="M19" s="68">
        <v>11</v>
      </c>
      <c r="N19" s="68"/>
      <c r="O19" s="68">
        <v>0</v>
      </c>
      <c r="P19" s="68">
        <v>0</v>
      </c>
      <c r="Q19" s="68"/>
      <c r="R19" s="68">
        <v>0</v>
      </c>
      <c r="S19" s="68"/>
      <c r="T19" s="68"/>
      <c r="U19" s="68"/>
      <c r="V19" s="68"/>
      <c r="W19" s="68"/>
    </row>
    <row r="20" spans="1:23">
      <c r="A20" s="47" t="s">
        <v>20</v>
      </c>
      <c r="B20" s="68" t="s">
        <v>22</v>
      </c>
      <c r="C20" s="47" t="s">
        <v>314</v>
      </c>
      <c r="D20" s="67">
        <v>44192</v>
      </c>
      <c r="E20" s="68" t="s">
        <v>33</v>
      </c>
      <c r="F20" s="68">
        <v>1</v>
      </c>
      <c r="G20" s="69">
        <v>28.75</v>
      </c>
      <c r="H20" s="48">
        <f>F20*G20/60</f>
        <v>0.47916666666666669</v>
      </c>
      <c r="I20" s="49">
        <f t="shared" si="0"/>
        <v>0</v>
      </c>
      <c r="J20" s="49"/>
      <c r="K20" s="68">
        <v>0</v>
      </c>
      <c r="L20" s="49">
        <v>0</v>
      </c>
      <c r="M20" s="68">
        <v>0</v>
      </c>
      <c r="N20" s="68"/>
      <c r="O20" s="68">
        <v>0</v>
      </c>
      <c r="P20" s="68">
        <v>0</v>
      </c>
      <c r="Q20" s="68"/>
      <c r="R20" s="68">
        <v>0</v>
      </c>
      <c r="S20" s="68"/>
      <c r="T20" s="68"/>
      <c r="U20" s="68"/>
      <c r="V20" s="68"/>
      <c r="W20" s="68"/>
    </row>
    <row r="21" spans="1:23">
      <c r="A21" s="47" t="s">
        <v>20</v>
      </c>
      <c r="B21" s="68" t="s">
        <v>22</v>
      </c>
      <c r="C21" s="47" t="s">
        <v>314</v>
      </c>
      <c r="D21" s="67">
        <v>44192</v>
      </c>
      <c r="E21" s="68" t="s">
        <v>27</v>
      </c>
      <c r="F21" s="68">
        <v>1</v>
      </c>
      <c r="G21" s="69">
        <v>30</v>
      </c>
      <c r="H21" s="48">
        <f>F21*G21/60</f>
        <v>0.5</v>
      </c>
      <c r="I21" s="49">
        <f t="shared" si="0"/>
        <v>2</v>
      </c>
      <c r="J21" s="49"/>
      <c r="K21" s="68">
        <v>0</v>
      </c>
      <c r="L21" s="49">
        <v>0</v>
      </c>
      <c r="M21" s="68">
        <v>2</v>
      </c>
      <c r="N21" s="68"/>
      <c r="O21" s="68">
        <v>0</v>
      </c>
      <c r="P21" s="68">
        <v>0</v>
      </c>
      <c r="Q21" s="68"/>
      <c r="R21" s="68">
        <v>0</v>
      </c>
      <c r="S21" s="68"/>
      <c r="T21" s="68"/>
      <c r="U21" s="68"/>
      <c r="V21" s="68"/>
      <c r="W21" s="68"/>
    </row>
    <row r="22" spans="1:23">
      <c r="A22" s="47" t="s">
        <v>20</v>
      </c>
      <c r="B22" s="68" t="s">
        <v>24</v>
      </c>
      <c r="C22" s="47" t="s">
        <v>314</v>
      </c>
      <c r="D22" s="67">
        <v>44192</v>
      </c>
      <c r="E22" s="68" t="s">
        <v>27</v>
      </c>
      <c r="F22" s="68">
        <v>2</v>
      </c>
      <c r="G22" s="69">
        <v>30</v>
      </c>
      <c r="H22" s="48">
        <f>F22*G22/60</f>
        <v>1</v>
      </c>
      <c r="I22" s="49">
        <f t="shared" si="0"/>
        <v>2</v>
      </c>
      <c r="J22" s="49"/>
      <c r="K22" s="68">
        <v>0</v>
      </c>
      <c r="L22" s="49">
        <v>0</v>
      </c>
      <c r="M22" s="68">
        <v>2</v>
      </c>
      <c r="N22" s="68"/>
      <c r="O22" s="68">
        <v>0</v>
      </c>
      <c r="P22" s="68">
        <v>0</v>
      </c>
      <c r="Q22" s="68"/>
      <c r="R22" s="68">
        <v>0</v>
      </c>
      <c r="S22" s="68"/>
      <c r="T22" s="68"/>
      <c r="U22" s="68"/>
      <c r="V22" s="68"/>
      <c r="W22" s="68"/>
    </row>
    <row r="23" spans="1:23">
      <c r="A23" s="47" t="s">
        <v>20</v>
      </c>
      <c r="B23" s="68" t="s">
        <v>32</v>
      </c>
      <c r="C23" s="47" t="s">
        <v>314</v>
      </c>
      <c r="D23" s="67">
        <v>44192</v>
      </c>
      <c r="E23" s="68" t="s">
        <v>33</v>
      </c>
      <c r="F23" s="68">
        <v>1</v>
      </c>
      <c r="G23" s="71">
        <v>23.75</v>
      </c>
      <c r="H23" s="48">
        <f>F23*G23/60</f>
        <v>0.39583333333333331</v>
      </c>
      <c r="I23" s="49">
        <f t="shared" si="0"/>
        <v>0</v>
      </c>
      <c r="J23" s="49"/>
      <c r="K23" s="68">
        <v>0</v>
      </c>
      <c r="L23" s="49">
        <v>0</v>
      </c>
      <c r="M23" s="68">
        <v>0</v>
      </c>
      <c r="N23" s="68"/>
      <c r="O23" s="68">
        <v>0</v>
      </c>
      <c r="P23" s="68">
        <v>0</v>
      </c>
      <c r="Q23" s="68"/>
      <c r="R23" s="68">
        <v>0</v>
      </c>
      <c r="S23" s="68"/>
      <c r="T23" s="68"/>
      <c r="U23" s="68"/>
      <c r="V23" s="68"/>
      <c r="W23" s="68"/>
    </row>
    <row r="24" spans="1:23">
      <c r="A24" s="47" t="s">
        <v>20</v>
      </c>
      <c r="B24" s="68" t="s">
        <v>34</v>
      </c>
      <c r="C24" s="47" t="s">
        <v>314</v>
      </c>
      <c r="D24" s="67">
        <v>44192</v>
      </c>
      <c r="E24" s="68" t="s">
        <v>35</v>
      </c>
      <c r="F24" s="68">
        <v>1</v>
      </c>
      <c r="G24" s="71">
        <v>24</v>
      </c>
      <c r="H24" s="48">
        <f>F24*G24/60</f>
        <v>0.4</v>
      </c>
      <c r="I24" s="49">
        <f t="shared" si="0"/>
        <v>3</v>
      </c>
      <c r="J24" s="49"/>
      <c r="K24" s="68">
        <v>0</v>
      </c>
      <c r="L24" s="49">
        <v>0</v>
      </c>
      <c r="M24" s="68">
        <v>3</v>
      </c>
      <c r="N24" s="68"/>
      <c r="O24" s="68">
        <v>0</v>
      </c>
      <c r="P24" s="68">
        <v>0</v>
      </c>
      <c r="Q24" s="68"/>
      <c r="R24" s="68">
        <v>0</v>
      </c>
      <c r="S24" s="68"/>
      <c r="T24" s="68"/>
      <c r="U24" s="68"/>
      <c r="V24" s="68"/>
      <c r="W24" s="68"/>
    </row>
    <row r="25" spans="1:23">
      <c r="A25" s="47" t="s">
        <v>20</v>
      </c>
      <c r="B25" s="68" t="s">
        <v>36</v>
      </c>
      <c r="C25" s="47" t="s">
        <v>314</v>
      </c>
      <c r="D25" s="67">
        <v>44192</v>
      </c>
      <c r="E25" s="68" t="s">
        <v>35</v>
      </c>
      <c r="F25" s="68">
        <v>1</v>
      </c>
      <c r="G25" s="71">
        <v>23.75</v>
      </c>
      <c r="H25" s="48">
        <f>F25*G25/60</f>
        <v>0.39583333333333331</v>
      </c>
      <c r="I25" s="49">
        <f t="shared" si="0"/>
        <v>7</v>
      </c>
      <c r="J25" s="49"/>
      <c r="K25" s="68">
        <v>0</v>
      </c>
      <c r="L25" s="49">
        <v>0</v>
      </c>
      <c r="M25" s="68">
        <v>7</v>
      </c>
      <c r="N25" s="68"/>
      <c r="O25" s="68">
        <v>0</v>
      </c>
      <c r="P25" s="68">
        <v>0</v>
      </c>
      <c r="Q25" s="68"/>
      <c r="R25" s="68">
        <v>0</v>
      </c>
      <c r="S25" s="68"/>
      <c r="T25" s="68"/>
      <c r="U25" s="68"/>
      <c r="V25" s="68"/>
      <c r="W25" s="68"/>
    </row>
    <row r="26" spans="1:23">
      <c r="A26" s="47" t="s">
        <v>20</v>
      </c>
      <c r="B26" s="68" t="s">
        <v>37</v>
      </c>
      <c r="C26" s="47" t="s">
        <v>314</v>
      </c>
      <c r="D26" s="67">
        <v>44192</v>
      </c>
      <c r="E26" s="68" t="s">
        <v>35</v>
      </c>
      <c r="F26" s="68">
        <v>1</v>
      </c>
      <c r="G26" s="71">
        <v>12</v>
      </c>
      <c r="H26" s="48">
        <f>F26*G26/60</f>
        <v>0.2</v>
      </c>
      <c r="I26" s="49">
        <f t="shared" si="0"/>
        <v>13</v>
      </c>
      <c r="J26" s="49"/>
      <c r="K26" s="68">
        <v>0</v>
      </c>
      <c r="L26" s="49">
        <v>0</v>
      </c>
      <c r="M26" s="68">
        <v>13</v>
      </c>
      <c r="N26" s="68"/>
      <c r="O26" s="68">
        <v>0</v>
      </c>
      <c r="P26" s="68">
        <v>0</v>
      </c>
      <c r="Q26" s="68"/>
      <c r="R26" s="68">
        <v>0</v>
      </c>
      <c r="S26" s="68"/>
      <c r="T26" s="68"/>
      <c r="U26" s="68"/>
      <c r="V26" s="68"/>
      <c r="W26" s="68"/>
    </row>
    <row r="27" spans="1:23">
      <c r="A27" s="47" t="s">
        <v>20</v>
      </c>
      <c r="B27" s="68" t="s">
        <v>408</v>
      </c>
      <c r="C27" s="47" t="s">
        <v>314</v>
      </c>
      <c r="D27" s="67">
        <v>44193</v>
      </c>
      <c r="E27" s="68" t="s">
        <v>35</v>
      </c>
      <c r="F27" s="68">
        <v>1</v>
      </c>
      <c r="G27" s="69">
        <v>30</v>
      </c>
      <c r="H27" s="48">
        <f>F27*G27/60</f>
        <v>0.5</v>
      </c>
      <c r="I27" s="49">
        <f t="shared" si="0"/>
        <v>10</v>
      </c>
      <c r="J27" s="49"/>
      <c r="K27" s="68">
        <v>0</v>
      </c>
      <c r="L27" s="49">
        <v>0</v>
      </c>
      <c r="M27" s="68">
        <v>10</v>
      </c>
      <c r="N27" s="68"/>
      <c r="O27" s="68">
        <v>0</v>
      </c>
      <c r="P27" s="68">
        <v>0</v>
      </c>
      <c r="Q27" s="68"/>
      <c r="R27" s="68">
        <v>0</v>
      </c>
      <c r="S27" s="68"/>
      <c r="T27" s="68"/>
    </row>
    <row r="28" spans="1:23">
      <c r="A28" s="47" t="s">
        <v>20</v>
      </c>
      <c r="B28" s="68" t="s">
        <v>409</v>
      </c>
      <c r="C28" s="47" t="s">
        <v>314</v>
      </c>
      <c r="D28" s="67">
        <v>44193</v>
      </c>
      <c r="E28" s="68" t="s">
        <v>31</v>
      </c>
      <c r="F28" s="68">
        <v>4</v>
      </c>
      <c r="G28" s="69">
        <v>30</v>
      </c>
      <c r="H28" s="48">
        <f>F28*G28/60</f>
        <v>2</v>
      </c>
      <c r="I28" s="49">
        <f t="shared" si="0"/>
        <v>18</v>
      </c>
      <c r="J28" s="49"/>
      <c r="K28" s="68">
        <v>0</v>
      </c>
      <c r="L28" s="49">
        <v>0</v>
      </c>
      <c r="M28" s="68">
        <v>18</v>
      </c>
      <c r="N28" s="68"/>
      <c r="O28" s="68">
        <v>0</v>
      </c>
      <c r="P28" s="68">
        <v>0</v>
      </c>
      <c r="Q28" s="68"/>
      <c r="R28" s="68">
        <v>0</v>
      </c>
      <c r="S28" s="68"/>
      <c r="T28" s="68"/>
    </row>
    <row r="29" spans="1:23">
      <c r="A29" s="47" t="s">
        <v>20</v>
      </c>
      <c r="B29" s="68" t="s">
        <v>410</v>
      </c>
      <c r="C29" s="47" t="s">
        <v>314</v>
      </c>
      <c r="D29" s="67">
        <v>44193</v>
      </c>
      <c r="E29" s="72" t="s">
        <v>35</v>
      </c>
      <c r="F29" s="68">
        <v>4</v>
      </c>
      <c r="G29" s="71">
        <v>18.25</v>
      </c>
      <c r="H29" s="48">
        <f>F29*G29/60</f>
        <v>1.2166666666666666</v>
      </c>
      <c r="I29" s="49">
        <f t="shared" si="0"/>
        <v>21</v>
      </c>
      <c r="J29" s="49"/>
      <c r="K29" s="68">
        <v>0</v>
      </c>
      <c r="L29" s="49">
        <v>0</v>
      </c>
      <c r="M29" s="68">
        <v>21</v>
      </c>
      <c r="N29" s="68"/>
      <c r="O29" s="68">
        <v>0</v>
      </c>
      <c r="P29" s="68">
        <v>0</v>
      </c>
      <c r="Q29" s="68"/>
      <c r="R29" s="68">
        <v>0</v>
      </c>
      <c r="S29" s="68"/>
      <c r="T29" s="68"/>
    </row>
    <row r="30" spans="1:23">
      <c r="A30" s="47" t="s">
        <v>20</v>
      </c>
      <c r="B30" s="68" t="s">
        <v>343</v>
      </c>
      <c r="C30" s="47" t="s">
        <v>314</v>
      </c>
      <c r="D30" s="67">
        <v>44196</v>
      </c>
      <c r="E30" s="68" t="s">
        <v>35</v>
      </c>
      <c r="F30" s="68">
        <v>1</v>
      </c>
      <c r="G30" s="69">
        <v>28</v>
      </c>
      <c r="H30" s="48">
        <f>F30*G30/60</f>
        <v>0.46666666666666667</v>
      </c>
      <c r="I30" s="49">
        <f t="shared" si="0"/>
        <v>3</v>
      </c>
      <c r="J30" s="49"/>
      <c r="K30" s="68">
        <v>0</v>
      </c>
      <c r="L30" s="49">
        <v>0</v>
      </c>
      <c r="M30" s="68">
        <v>3</v>
      </c>
      <c r="N30" s="68"/>
      <c r="O30" s="68">
        <v>0</v>
      </c>
      <c r="P30" s="68">
        <v>0</v>
      </c>
      <c r="Q30" s="68"/>
      <c r="R30" s="68">
        <v>0</v>
      </c>
      <c r="S30" s="68"/>
      <c r="T30" s="68"/>
      <c r="U30" s="68"/>
      <c r="V30" s="68"/>
      <c r="W30" s="68"/>
    </row>
    <row r="31" spans="1:23">
      <c r="A31" s="47" t="s">
        <v>20</v>
      </c>
      <c r="B31" s="68" t="s">
        <v>344</v>
      </c>
      <c r="C31" s="47" t="s">
        <v>314</v>
      </c>
      <c r="D31" s="67">
        <v>44196</v>
      </c>
      <c r="E31" s="68" t="s">
        <v>335</v>
      </c>
      <c r="F31" s="68">
        <v>1</v>
      </c>
      <c r="G31" s="69">
        <v>28</v>
      </c>
      <c r="H31" s="48">
        <f>F31*G31/60</f>
        <v>0.46666666666666667</v>
      </c>
      <c r="I31" s="49">
        <f t="shared" si="0"/>
        <v>20</v>
      </c>
      <c r="J31" s="49"/>
      <c r="K31" s="68">
        <v>0</v>
      </c>
      <c r="L31" s="49">
        <v>0</v>
      </c>
      <c r="M31" s="68">
        <v>20</v>
      </c>
      <c r="N31" s="68"/>
      <c r="O31" s="68">
        <v>0</v>
      </c>
      <c r="P31" s="68">
        <v>0</v>
      </c>
      <c r="Q31" s="68"/>
      <c r="R31" s="68">
        <v>0</v>
      </c>
      <c r="S31" s="68"/>
      <c r="T31" s="68"/>
      <c r="U31" s="68"/>
      <c r="V31" s="68"/>
      <c r="W31" s="68"/>
    </row>
    <row r="32" spans="1:23">
      <c r="A32" s="47" t="s">
        <v>20</v>
      </c>
      <c r="B32" s="68" t="s">
        <v>38</v>
      </c>
      <c r="C32" s="47" t="s">
        <v>314</v>
      </c>
      <c r="D32" s="67">
        <v>44202</v>
      </c>
      <c r="E32" s="68" t="s">
        <v>35</v>
      </c>
      <c r="F32" s="68">
        <v>1</v>
      </c>
      <c r="G32" s="71">
        <v>23.75</v>
      </c>
      <c r="H32" s="48">
        <f>F32*G32/60</f>
        <v>0.39583333333333331</v>
      </c>
      <c r="I32" s="49">
        <f t="shared" si="0"/>
        <v>7</v>
      </c>
      <c r="J32" s="49"/>
      <c r="K32" s="68">
        <v>0</v>
      </c>
      <c r="L32" s="49">
        <v>0</v>
      </c>
      <c r="M32" s="68">
        <v>7</v>
      </c>
      <c r="N32" s="68"/>
      <c r="O32" s="68">
        <v>0</v>
      </c>
      <c r="P32" s="68">
        <v>0</v>
      </c>
      <c r="Q32" s="68"/>
      <c r="R32" s="68">
        <v>0</v>
      </c>
      <c r="S32" s="68"/>
      <c r="T32" s="68"/>
      <c r="U32" s="68"/>
      <c r="V32" s="68"/>
      <c r="W32" s="68"/>
    </row>
    <row r="33" spans="1:23">
      <c r="A33" s="47" t="s">
        <v>20</v>
      </c>
      <c r="B33" s="68" t="s">
        <v>39</v>
      </c>
      <c r="C33" s="47" t="s">
        <v>314</v>
      </c>
      <c r="D33" s="67">
        <v>44202</v>
      </c>
      <c r="E33" s="68" t="s">
        <v>40</v>
      </c>
      <c r="F33" s="68">
        <v>1</v>
      </c>
      <c r="G33" s="71">
        <v>23.75</v>
      </c>
      <c r="H33" s="48">
        <f>F33*G33/60</f>
        <v>0.39583333333333331</v>
      </c>
      <c r="I33" s="49">
        <f t="shared" si="0"/>
        <v>5</v>
      </c>
      <c r="J33" s="49"/>
      <c r="K33" s="68">
        <v>0</v>
      </c>
      <c r="L33" s="49">
        <v>0</v>
      </c>
      <c r="M33" s="68">
        <v>5</v>
      </c>
      <c r="N33" s="68"/>
      <c r="O33" s="68">
        <v>0</v>
      </c>
      <c r="P33" s="68">
        <v>0</v>
      </c>
      <c r="Q33" s="68"/>
      <c r="R33" s="68">
        <v>0</v>
      </c>
      <c r="S33" s="68"/>
      <c r="T33" s="68"/>
      <c r="U33" s="68"/>
      <c r="V33" s="68"/>
      <c r="W33" s="68"/>
    </row>
    <row r="34" spans="1:23">
      <c r="A34" s="47" t="s">
        <v>20</v>
      </c>
      <c r="B34" s="73" t="s">
        <v>41</v>
      </c>
      <c r="C34" s="73" t="s">
        <v>314</v>
      </c>
      <c r="D34" s="74">
        <v>44212</v>
      </c>
      <c r="E34" s="68" t="s">
        <v>42</v>
      </c>
      <c r="F34" s="68">
        <v>2</v>
      </c>
      <c r="G34" s="69">
        <v>30</v>
      </c>
      <c r="H34" s="48">
        <f>F34*G34/60</f>
        <v>1</v>
      </c>
      <c r="I34" s="49">
        <f t="shared" si="0"/>
        <v>6</v>
      </c>
      <c r="J34" s="49"/>
      <c r="K34" s="68">
        <v>0</v>
      </c>
      <c r="L34" s="49">
        <v>0</v>
      </c>
      <c r="M34" s="68">
        <v>6</v>
      </c>
      <c r="N34" s="68"/>
      <c r="O34" s="68">
        <v>0</v>
      </c>
      <c r="P34" s="68">
        <v>0</v>
      </c>
      <c r="Q34" s="68"/>
      <c r="R34" s="68">
        <v>0</v>
      </c>
      <c r="S34" s="68"/>
      <c r="T34" s="68"/>
      <c r="U34" s="68"/>
      <c r="V34" s="68">
        <v>0</v>
      </c>
      <c r="W34" s="68"/>
    </row>
    <row r="35" spans="1:23">
      <c r="A35" s="47" t="s">
        <v>20</v>
      </c>
      <c r="B35" s="73" t="s">
        <v>43</v>
      </c>
      <c r="C35" s="73" t="s">
        <v>314</v>
      </c>
      <c r="D35" s="74">
        <v>44213</v>
      </c>
      <c r="E35" s="68" t="s">
        <v>44</v>
      </c>
      <c r="F35" s="68">
        <v>4</v>
      </c>
      <c r="G35" s="69">
        <v>30</v>
      </c>
      <c r="H35" s="48">
        <f>F35*G35/60</f>
        <v>2</v>
      </c>
      <c r="I35" s="49">
        <f t="shared" si="0"/>
        <v>22</v>
      </c>
      <c r="J35" s="49"/>
      <c r="K35" s="68">
        <v>0</v>
      </c>
      <c r="L35" s="49">
        <v>0</v>
      </c>
      <c r="M35" s="68">
        <v>22</v>
      </c>
      <c r="N35" s="68"/>
      <c r="O35" s="68">
        <v>0</v>
      </c>
      <c r="P35" s="68">
        <v>0</v>
      </c>
      <c r="Q35" s="68"/>
      <c r="R35" s="68">
        <v>0</v>
      </c>
      <c r="S35" s="68"/>
      <c r="T35" s="68"/>
      <c r="U35" s="68"/>
      <c r="V35" s="68">
        <v>0</v>
      </c>
      <c r="W35" s="68"/>
    </row>
    <row r="36" spans="1:23">
      <c r="A36" s="47" t="s">
        <v>20</v>
      </c>
      <c r="B36" s="73" t="s">
        <v>45</v>
      </c>
      <c r="C36" s="73" t="s">
        <v>314</v>
      </c>
      <c r="D36" s="74">
        <v>44213</v>
      </c>
      <c r="E36" s="68" t="s">
        <v>46</v>
      </c>
      <c r="F36" s="68">
        <v>3</v>
      </c>
      <c r="G36" s="69">
        <v>30</v>
      </c>
      <c r="H36" s="48">
        <f>F36*G36/60</f>
        <v>1.5</v>
      </c>
      <c r="I36" s="49">
        <f t="shared" si="0"/>
        <v>6</v>
      </c>
      <c r="J36" s="49"/>
      <c r="K36" s="68">
        <v>0</v>
      </c>
      <c r="L36" s="49">
        <v>0</v>
      </c>
      <c r="M36" s="68">
        <v>6</v>
      </c>
      <c r="N36" s="68"/>
      <c r="O36" s="68">
        <v>0</v>
      </c>
      <c r="P36" s="68">
        <v>0</v>
      </c>
      <c r="Q36" s="68"/>
      <c r="R36" s="68">
        <v>0</v>
      </c>
      <c r="S36" s="68"/>
      <c r="T36" s="68"/>
      <c r="U36" s="68"/>
      <c r="V36" s="68">
        <v>0</v>
      </c>
      <c r="W36" s="68"/>
    </row>
    <row r="37" spans="1:23">
      <c r="A37" s="47" t="s">
        <v>20</v>
      </c>
      <c r="B37" s="73" t="s">
        <v>52</v>
      </c>
      <c r="C37" s="73" t="s">
        <v>313</v>
      </c>
      <c r="D37" s="74">
        <v>44936</v>
      </c>
      <c r="E37" s="75" t="s">
        <v>53</v>
      </c>
      <c r="F37" s="68">
        <v>2</v>
      </c>
      <c r="G37" s="69">
        <v>30</v>
      </c>
      <c r="H37" s="48">
        <f>F37*G37/60</f>
        <v>1</v>
      </c>
      <c r="I37" s="49">
        <f t="shared" ref="I37:I39" si="1">SUM(K37:V37)</f>
        <v>10</v>
      </c>
      <c r="J37" s="49"/>
      <c r="K37" s="68">
        <v>0</v>
      </c>
      <c r="L37" s="49">
        <v>0</v>
      </c>
      <c r="M37" s="68">
        <v>9</v>
      </c>
      <c r="N37" s="68"/>
      <c r="O37" s="68"/>
      <c r="P37" s="68"/>
      <c r="Q37" s="68">
        <v>1</v>
      </c>
      <c r="R37" s="68"/>
      <c r="S37" s="68"/>
      <c r="T37" s="68"/>
      <c r="U37" s="68"/>
    </row>
    <row r="38" spans="1:23">
      <c r="A38" s="47" t="s">
        <v>20</v>
      </c>
      <c r="B38" s="68" t="s">
        <v>57</v>
      </c>
      <c r="C38" s="47" t="s">
        <v>314</v>
      </c>
      <c r="D38" s="67">
        <v>44936</v>
      </c>
      <c r="E38" s="75" t="s">
        <v>56</v>
      </c>
      <c r="F38" s="68">
        <v>1</v>
      </c>
      <c r="G38" s="71">
        <v>13.5</v>
      </c>
      <c r="H38" s="48">
        <f>F38*G38/60</f>
        <v>0.22500000000000001</v>
      </c>
      <c r="I38" s="49">
        <f t="shared" si="1"/>
        <v>5</v>
      </c>
      <c r="J38" s="49"/>
      <c r="M38" s="47">
        <v>5</v>
      </c>
    </row>
    <row r="39" spans="1:23">
      <c r="A39" s="47" t="s">
        <v>20</v>
      </c>
      <c r="B39" s="68" t="s">
        <v>215</v>
      </c>
      <c r="C39" s="47" t="s">
        <v>313</v>
      </c>
      <c r="D39" s="67">
        <v>45626</v>
      </c>
      <c r="E39" s="75" t="s">
        <v>216</v>
      </c>
      <c r="F39" s="68">
        <v>1</v>
      </c>
      <c r="G39" s="69">
        <v>30</v>
      </c>
      <c r="H39" s="48">
        <f>F39*G39/60</f>
        <v>0.5</v>
      </c>
      <c r="I39" s="49">
        <f t="shared" si="1"/>
        <v>2</v>
      </c>
      <c r="J39" s="49"/>
      <c r="M39" s="47">
        <v>2</v>
      </c>
    </row>
    <row r="40" spans="1:23">
      <c r="A40" s="47" t="s">
        <v>20</v>
      </c>
      <c r="B40" s="68" t="s">
        <v>223</v>
      </c>
      <c r="C40" s="47" t="s">
        <v>314</v>
      </c>
      <c r="D40" s="67">
        <v>45626</v>
      </c>
      <c r="E40" s="51" t="s">
        <v>217</v>
      </c>
      <c r="F40" s="68">
        <v>1</v>
      </c>
      <c r="G40" s="69">
        <v>30</v>
      </c>
      <c r="H40" s="48">
        <f>F40*G40/60</f>
        <v>0.5</v>
      </c>
      <c r="I40" s="49">
        <v>15</v>
      </c>
      <c r="J40" s="49"/>
      <c r="M40" s="47">
        <v>15</v>
      </c>
    </row>
    <row r="41" spans="1:23">
      <c r="A41" s="47" t="s">
        <v>219</v>
      </c>
      <c r="B41" s="68" t="s">
        <v>220</v>
      </c>
      <c r="C41" s="47" t="s">
        <v>158</v>
      </c>
      <c r="D41" s="67">
        <v>45259</v>
      </c>
      <c r="E41" s="51" t="s">
        <v>218</v>
      </c>
      <c r="F41" s="68">
        <v>1</v>
      </c>
      <c r="G41" s="69">
        <v>30</v>
      </c>
      <c r="H41" s="48">
        <f>F41*G41/60</f>
        <v>0.5</v>
      </c>
      <c r="I41" s="49">
        <f t="shared" ref="I41:I46" si="2">SUM(K41:V41)</f>
        <v>0</v>
      </c>
      <c r="J41" s="49"/>
      <c r="K41" s="47">
        <v>0</v>
      </c>
      <c r="M41" s="47">
        <v>0</v>
      </c>
    </row>
    <row r="42" spans="1:23">
      <c r="A42" s="47" t="s">
        <v>219</v>
      </c>
      <c r="B42" s="68" t="s">
        <v>221</v>
      </c>
      <c r="C42" s="47" t="s">
        <v>158</v>
      </c>
      <c r="D42" s="67">
        <v>45259</v>
      </c>
      <c r="E42" s="51" t="s">
        <v>222</v>
      </c>
      <c r="F42" s="68">
        <v>1</v>
      </c>
      <c r="G42" s="69">
        <v>30</v>
      </c>
      <c r="H42" s="48">
        <f>F42*G42/60</f>
        <v>0.5</v>
      </c>
      <c r="I42" s="49">
        <f t="shared" si="2"/>
        <v>0</v>
      </c>
      <c r="J42" s="49"/>
      <c r="K42" s="47">
        <v>0</v>
      </c>
      <c r="M42" s="47">
        <v>0</v>
      </c>
    </row>
    <row r="43" spans="1:23">
      <c r="A43" s="47" t="s">
        <v>219</v>
      </c>
      <c r="B43" s="68" t="s">
        <v>224</v>
      </c>
      <c r="C43" s="47" t="s">
        <v>158</v>
      </c>
      <c r="D43" s="67">
        <v>45260</v>
      </c>
      <c r="E43" s="51" t="s">
        <v>225</v>
      </c>
      <c r="F43" s="68">
        <v>1</v>
      </c>
      <c r="G43" s="69">
        <v>30</v>
      </c>
      <c r="H43" s="48">
        <f>F43*G43/60</f>
        <v>0.5</v>
      </c>
      <c r="I43" s="49">
        <f t="shared" si="2"/>
        <v>3</v>
      </c>
      <c r="J43" s="49"/>
      <c r="V43" s="47">
        <v>3</v>
      </c>
    </row>
    <row r="44" spans="1:23">
      <c r="A44" s="47" t="s">
        <v>219</v>
      </c>
      <c r="B44" s="68" t="s">
        <v>227</v>
      </c>
      <c r="C44" s="47" t="s">
        <v>158</v>
      </c>
      <c r="D44" s="67">
        <v>45260</v>
      </c>
      <c r="E44" s="51" t="s">
        <v>228</v>
      </c>
      <c r="F44" s="68">
        <v>1</v>
      </c>
      <c r="G44" s="69">
        <v>30</v>
      </c>
      <c r="H44" s="48">
        <f>F44*G44/60</f>
        <v>0.5</v>
      </c>
      <c r="I44" s="49">
        <f t="shared" si="2"/>
        <v>1</v>
      </c>
      <c r="J44" s="49"/>
      <c r="Q44" s="47">
        <v>1</v>
      </c>
    </row>
    <row r="45" spans="1:23">
      <c r="A45" s="47" t="s">
        <v>219</v>
      </c>
      <c r="B45" s="68" t="s">
        <v>233</v>
      </c>
      <c r="C45" s="47" t="s">
        <v>158</v>
      </c>
      <c r="D45" s="67">
        <v>45259</v>
      </c>
      <c r="E45" s="51" t="s">
        <v>35</v>
      </c>
      <c r="F45" s="68">
        <v>1</v>
      </c>
      <c r="G45" s="69">
        <v>30</v>
      </c>
      <c r="H45" s="48">
        <f>F45*G45/60</f>
        <v>0.5</v>
      </c>
      <c r="I45" s="49">
        <f t="shared" si="2"/>
        <v>4</v>
      </c>
      <c r="J45" s="49">
        <v>1</v>
      </c>
      <c r="K45" s="47">
        <v>1</v>
      </c>
      <c r="M45" s="47">
        <v>1</v>
      </c>
      <c r="V45" s="47">
        <v>2</v>
      </c>
    </row>
    <row r="46" spans="1:23">
      <c r="A46" s="47" t="s">
        <v>219</v>
      </c>
      <c r="B46" s="68" t="s">
        <v>235</v>
      </c>
      <c r="C46" s="47" t="s">
        <v>158</v>
      </c>
      <c r="D46" s="67">
        <v>45260</v>
      </c>
      <c r="E46" s="51" t="s">
        <v>234</v>
      </c>
      <c r="F46" s="68">
        <v>1</v>
      </c>
      <c r="G46" s="69">
        <v>30</v>
      </c>
      <c r="H46" s="48">
        <f>F46*G46/60</f>
        <v>0.5</v>
      </c>
      <c r="I46" s="49">
        <f t="shared" si="2"/>
        <v>0</v>
      </c>
      <c r="J46" s="49"/>
      <c r="M46" s="47">
        <v>0</v>
      </c>
      <c r="V46" s="47" t="s">
        <v>236</v>
      </c>
    </row>
    <row r="47" spans="1:23">
      <c r="A47" s="47" t="s">
        <v>219</v>
      </c>
      <c r="B47" s="68" t="s">
        <v>240</v>
      </c>
      <c r="C47" s="47" t="s">
        <v>158</v>
      </c>
      <c r="D47" s="67">
        <v>45260</v>
      </c>
      <c r="E47" s="51" t="s">
        <v>44</v>
      </c>
      <c r="F47" s="68">
        <v>1</v>
      </c>
      <c r="G47" s="69">
        <v>30</v>
      </c>
      <c r="H47" s="48">
        <f>F47*G47/60</f>
        <v>0.5</v>
      </c>
      <c r="I47" s="47">
        <v>0</v>
      </c>
      <c r="M47" s="47">
        <v>0</v>
      </c>
    </row>
    <row r="48" spans="1:23">
      <c r="A48" s="47" t="s">
        <v>47</v>
      </c>
      <c r="B48" s="68" t="s">
        <v>48</v>
      </c>
      <c r="C48" s="47" t="s">
        <v>312</v>
      </c>
      <c r="D48" s="67">
        <v>44935</v>
      </c>
      <c r="E48" s="75" t="s">
        <v>49</v>
      </c>
      <c r="F48" s="68">
        <v>1</v>
      </c>
      <c r="G48" s="69">
        <v>30</v>
      </c>
      <c r="H48" s="48">
        <f>F48*G48/60</f>
        <v>0.5</v>
      </c>
      <c r="I48" s="49">
        <f>SUM(K48:V48)</f>
        <v>0</v>
      </c>
      <c r="J48" s="49"/>
      <c r="K48" s="68">
        <v>0</v>
      </c>
      <c r="L48" s="49">
        <v>0</v>
      </c>
      <c r="M48" s="68"/>
      <c r="N48" s="68"/>
      <c r="O48" s="68"/>
      <c r="P48" s="68"/>
      <c r="Q48" s="68"/>
      <c r="R48" s="68"/>
      <c r="S48" s="68"/>
      <c r="T48" s="68"/>
      <c r="U48" s="68"/>
    </row>
    <row r="49" spans="1:23">
      <c r="A49" s="47" t="s">
        <v>47</v>
      </c>
      <c r="B49" s="68" t="s">
        <v>50</v>
      </c>
      <c r="C49" s="47" t="s">
        <v>312</v>
      </c>
      <c r="D49" s="67">
        <v>44935</v>
      </c>
      <c r="E49" s="75" t="s">
        <v>51</v>
      </c>
      <c r="F49" s="68">
        <v>1</v>
      </c>
      <c r="G49" s="69">
        <v>30</v>
      </c>
      <c r="H49" s="48">
        <f>F49*G49/60</f>
        <v>0.5</v>
      </c>
      <c r="I49" s="49">
        <f>SUM(K49:V49)</f>
        <v>3</v>
      </c>
      <c r="J49" s="49"/>
      <c r="K49" s="68">
        <v>1</v>
      </c>
      <c r="L49" s="49">
        <v>0</v>
      </c>
      <c r="M49" s="68">
        <v>2</v>
      </c>
      <c r="N49" s="68"/>
      <c r="O49" s="68"/>
      <c r="P49" s="68"/>
      <c r="Q49" s="68"/>
      <c r="R49" s="68"/>
      <c r="S49" s="68"/>
      <c r="T49" s="68"/>
      <c r="U49" s="68"/>
    </row>
    <row r="50" spans="1:23">
      <c r="A50" s="47" t="s">
        <v>47</v>
      </c>
      <c r="B50" s="68" t="s">
        <v>54</v>
      </c>
      <c r="C50" s="47" t="s">
        <v>312</v>
      </c>
      <c r="D50" s="67">
        <v>44935</v>
      </c>
      <c r="E50" s="47" t="s">
        <v>56</v>
      </c>
      <c r="F50" s="68">
        <v>1</v>
      </c>
      <c r="G50" s="69">
        <v>30</v>
      </c>
      <c r="H50" s="48">
        <f>F50*G50/60</f>
        <v>0.5</v>
      </c>
      <c r="I50" s="49">
        <f>SUM(K50:V50)</f>
        <v>1</v>
      </c>
      <c r="J50" s="49"/>
      <c r="K50" s="47">
        <v>0</v>
      </c>
      <c r="V50" s="47">
        <v>1</v>
      </c>
    </row>
    <row r="51" spans="1:23">
      <c r="A51" s="47" t="s">
        <v>47</v>
      </c>
      <c r="B51" s="68" t="s">
        <v>55</v>
      </c>
      <c r="C51" s="47" t="s">
        <v>312</v>
      </c>
      <c r="D51" s="67">
        <v>44935</v>
      </c>
      <c r="E51" s="75" t="s">
        <v>324</v>
      </c>
      <c r="F51" s="68">
        <v>1</v>
      </c>
      <c r="G51" s="69">
        <v>30</v>
      </c>
      <c r="H51" s="48">
        <f>F51*G51/60</f>
        <v>0.5</v>
      </c>
      <c r="I51" s="49">
        <f>SUM(K51:V51)</f>
        <v>1</v>
      </c>
      <c r="J51" s="49"/>
      <c r="K51" s="47">
        <v>0</v>
      </c>
      <c r="M51" s="47">
        <v>1</v>
      </c>
    </row>
    <row r="52" spans="1:23">
      <c r="A52" s="47" t="s">
        <v>47</v>
      </c>
      <c r="B52" s="68" t="s">
        <v>360</v>
      </c>
      <c r="C52" s="47" t="s">
        <v>312</v>
      </c>
      <c r="D52" s="67">
        <v>45263</v>
      </c>
      <c r="E52" s="75" t="s">
        <v>362</v>
      </c>
      <c r="F52" s="68">
        <v>1</v>
      </c>
      <c r="G52" s="69">
        <v>30</v>
      </c>
      <c r="H52" s="48">
        <f>F52*G52/60</f>
        <v>0.5</v>
      </c>
      <c r="I52" s="47">
        <v>0</v>
      </c>
    </row>
    <row r="53" spans="1:23">
      <c r="A53" s="47" t="s">
        <v>47</v>
      </c>
      <c r="B53" s="68" t="s">
        <v>337</v>
      </c>
      <c r="C53" s="47" t="s">
        <v>312</v>
      </c>
      <c r="D53" s="67">
        <v>45264</v>
      </c>
      <c r="E53" s="75" t="s">
        <v>336</v>
      </c>
      <c r="F53" s="68">
        <v>1</v>
      </c>
      <c r="G53" s="69">
        <v>19</v>
      </c>
      <c r="H53" s="48">
        <f>F53*G53/60</f>
        <v>0.31666666666666665</v>
      </c>
      <c r="I53" s="49">
        <f>SUM(K53:V53)</f>
        <v>1</v>
      </c>
      <c r="V53" s="47">
        <v>1</v>
      </c>
    </row>
    <row r="54" spans="1:23">
      <c r="A54" s="47" t="s">
        <v>47</v>
      </c>
      <c r="B54" s="68" t="s">
        <v>361</v>
      </c>
      <c r="C54" s="47" t="s">
        <v>312</v>
      </c>
      <c r="D54" s="67">
        <v>45264</v>
      </c>
      <c r="E54" s="75" t="s">
        <v>56</v>
      </c>
      <c r="F54" s="68">
        <v>1</v>
      </c>
      <c r="G54" s="69">
        <v>30</v>
      </c>
      <c r="H54" s="48">
        <f>F54*G54/60</f>
        <v>0.5</v>
      </c>
      <c r="I54" s="47">
        <v>2</v>
      </c>
      <c r="K54" s="47">
        <v>2</v>
      </c>
    </row>
    <row r="55" spans="1:23">
      <c r="A55" s="47" t="s">
        <v>47</v>
      </c>
      <c r="B55" s="68" t="s">
        <v>366</v>
      </c>
      <c r="C55" s="47" t="s">
        <v>312</v>
      </c>
      <c r="D55" s="67">
        <v>45266</v>
      </c>
      <c r="E55" s="75" t="s">
        <v>367</v>
      </c>
      <c r="F55" s="68">
        <v>1</v>
      </c>
      <c r="G55" s="69">
        <v>30</v>
      </c>
      <c r="H55" s="48">
        <f>F55*G55/60</f>
        <v>0.5</v>
      </c>
      <c r="I55" s="49">
        <f>SUM(K55:V55)</f>
        <v>0</v>
      </c>
    </row>
    <row r="56" spans="1:23">
      <c r="A56" s="47" t="s">
        <v>47</v>
      </c>
      <c r="B56" s="68" t="s">
        <v>368</v>
      </c>
      <c r="C56" s="47" t="s">
        <v>312</v>
      </c>
      <c r="D56" s="67">
        <v>45266</v>
      </c>
      <c r="E56" s="75" t="s">
        <v>44</v>
      </c>
      <c r="F56" s="68">
        <v>1</v>
      </c>
      <c r="G56" s="69">
        <v>23</v>
      </c>
      <c r="H56" s="48">
        <f>F56*G56/60</f>
        <v>0.38333333333333336</v>
      </c>
      <c r="I56" s="49">
        <f>SUM(K56:W56)</f>
        <v>2</v>
      </c>
      <c r="N56" s="47">
        <v>1</v>
      </c>
      <c r="W56" s="47">
        <v>1</v>
      </c>
    </row>
    <row r="57" spans="1:23">
      <c r="A57" s="47" t="s">
        <v>47</v>
      </c>
      <c r="B57" s="68" t="s">
        <v>369</v>
      </c>
      <c r="C57" s="47" t="s">
        <v>312</v>
      </c>
      <c r="D57" s="67">
        <v>45267</v>
      </c>
      <c r="E57" s="75" t="s">
        <v>27</v>
      </c>
      <c r="F57" s="68">
        <v>1</v>
      </c>
      <c r="G57" s="69">
        <v>30</v>
      </c>
      <c r="H57" s="48">
        <f>F57*G57/60</f>
        <v>0.5</v>
      </c>
      <c r="I57" s="49">
        <f>SUM(K57:W57)</f>
        <v>2</v>
      </c>
      <c r="N57" s="47">
        <v>2</v>
      </c>
    </row>
    <row r="58" spans="1:23">
      <c r="A58" s="47" t="s">
        <v>47</v>
      </c>
      <c r="B58" s="68" t="s">
        <v>371</v>
      </c>
      <c r="C58" s="47" t="s">
        <v>312</v>
      </c>
      <c r="D58" s="67">
        <v>45267</v>
      </c>
      <c r="E58" s="75" t="s">
        <v>373</v>
      </c>
      <c r="F58" s="68">
        <v>1</v>
      </c>
      <c r="G58" s="69">
        <v>30</v>
      </c>
      <c r="H58" s="48">
        <f>F58*G58/60</f>
        <v>0.5</v>
      </c>
      <c r="I58" s="47">
        <v>0</v>
      </c>
    </row>
    <row r="59" spans="1:23">
      <c r="A59" s="47" t="s">
        <v>47</v>
      </c>
      <c r="B59" s="68" t="s">
        <v>338</v>
      </c>
      <c r="C59" s="47" t="s">
        <v>312</v>
      </c>
      <c r="D59" s="67">
        <v>45270</v>
      </c>
      <c r="E59" s="75" t="s">
        <v>56</v>
      </c>
      <c r="F59" s="68">
        <v>1</v>
      </c>
      <c r="G59" s="69">
        <v>30</v>
      </c>
      <c r="H59" s="48">
        <f>F59*G59/60</f>
        <v>0.5</v>
      </c>
      <c r="I59" s="49">
        <f>SUM(K59:V59)</f>
        <v>0</v>
      </c>
      <c r="K59" s="47">
        <v>0</v>
      </c>
      <c r="L59" s="47">
        <v>0</v>
      </c>
      <c r="M59" s="47">
        <v>0</v>
      </c>
      <c r="N59" s="47">
        <v>0</v>
      </c>
    </row>
    <row r="60" spans="1:23">
      <c r="A60" s="47" t="s">
        <v>47</v>
      </c>
      <c r="B60" s="68" t="s">
        <v>346</v>
      </c>
      <c r="C60" s="47" t="s">
        <v>312</v>
      </c>
      <c r="D60" s="67">
        <v>45270</v>
      </c>
      <c r="E60" s="75" t="s">
        <v>347</v>
      </c>
      <c r="F60" s="68">
        <v>1</v>
      </c>
      <c r="G60" s="69">
        <v>11</v>
      </c>
      <c r="H60" s="48">
        <f>F60*G60/60</f>
        <v>0.18333333333333332</v>
      </c>
      <c r="I60" s="47">
        <v>0</v>
      </c>
      <c r="K60" s="47">
        <v>0</v>
      </c>
    </row>
    <row r="61" spans="1:23">
      <c r="A61" s="47" t="s">
        <v>47</v>
      </c>
      <c r="B61" s="68" t="s">
        <v>372</v>
      </c>
      <c r="C61" s="47" t="s">
        <v>312</v>
      </c>
      <c r="D61" s="67">
        <v>45270</v>
      </c>
      <c r="E61" s="75" t="s">
        <v>31</v>
      </c>
      <c r="F61" s="68">
        <v>1</v>
      </c>
      <c r="G61" s="69">
        <v>30</v>
      </c>
      <c r="H61" s="48">
        <f>F61*G61/60</f>
        <v>0.5</v>
      </c>
      <c r="I61" s="47">
        <v>0</v>
      </c>
    </row>
    <row r="62" spans="1:23">
      <c r="A62" s="47" t="s">
        <v>47</v>
      </c>
      <c r="B62" s="68" t="s">
        <v>376</v>
      </c>
      <c r="C62" s="47" t="s">
        <v>312</v>
      </c>
      <c r="D62" s="67">
        <v>45270</v>
      </c>
      <c r="E62" s="75" t="s">
        <v>377</v>
      </c>
      <c r="F62" s="68">
        <v>1</v>
      </c>
      <c r="G62" s="69">
        <v>14.5</v>
      </c>
      <c r="H62" s="48">
        <f>F62*G62/60</f>
        <v>0.24166666666666667</v>
      </c>
    </row>
    <row r="63" spans="1:23">
      <c r="A63" s="47" t="s">
        <v>364</v>
      </c>
      <c r="B63" s="68" t="s">
        <v>363</v>
      </c>
      <c r="C63" s="47" t="s">
        <v>312</v>
      </c>
      <c r="D63" s="67">
        <v>45264</v>
      </c>
      <c r="E63" s="75" t="s">
        <v>46</v>
      </c>
      <c r="F63" s="68">
        <v>1</v>
      </c>
      <c r="G63" s="69">
        <v>30</v>
      </c>
      <c r="H63" s="48">
        <f>F63*G63/60</f>
        <v>0.5</v>
      </c>
      <c r="I63" s="49">
        <v>1</v>
      </c>
      <c r="W63" s="47">
        <v>1</v>
      </c>
    </row>
    <row r="64" spans="1:23">
      <c r="A64" s="47" t="s">
        <v>230</v>
      </c>
      <c r="B64" s="68" t="s">
        <v>229</v>
      </c>
      <c r="C64" s="47" t="s">
        <v>311</v>
      </c>
      <c r="D64" s="67">
        <v>45262</v>
      </c>
      <c r="E64" s="51" t="s">
        <v>231</v>
      </c>
      <c r="F64" s="68">
        <v>1</v>
      </c>
      <c r="G64" s="69">
        <v>30</v>
      </c>
      <c r="H64" s="48">
        <f>F64*G64/60</f>
        <v>0.5</v>
      </c>
      <c r="I64" s="49">
        <f>SUM(K64:V64)</f>
        <v>5</v>
      </c>
      <c r="J64" s="49">
        <v>1</v>
      </c>
      <c r="K64" s="47">
        <v>1</v>
      </c>
      <c r="V64" s="47">
        <v>4</v>
      </c>
    </row>
    <row r="65" spans="1:22">
      <c r="A65" s="47" t="s">
        <v>230</v>
      </c>
      <c r="B65" s="68" t="s">
        <v>358</v>
      </c>
      <c r="C65" s="47" t="s">
        <v>311</v>
      </c>
      <c r="D65" s="67">
        <v>45262</v>
      </c>
      <c r="E65" s="75" t="s">
        <v>359</v>
      </c>
      <c r="F65" s="68">
        <v>1</v>
      </c>
      <c r="G65" s="69">
        <v>13.5</v>
      </c>
      <c r="H65" s="48">
        <f>F65*G65/60</f>
        <v>0.22500000000000001</v>
      </c>
      <c r="I65" s="47">
        <v>3</v>
      </c>
      <c r="V65" s="47">
        <v>3</v>
      </c>
    </row>
    <row r="66" spans="1:22">
      <c r="A66" s="47" t="s">
        <v>230</v>
      </c>
      <c r="B66" s="68" t="s">
        <v>365</v>
      </c>
      <c r="C66" s="47" t="s">
        <v>311</v>
      </c>
      <c r="D66" s="67">
        <v>45265</v>
      </c>
      <c r="E66" s="75" t="s">
        <v>35</v>
      </c>
      <c r="F66" s="68">
        <v>1</v>
      </c>
      <c r="G66" s="69">
        <v>30</v>
      </c>
      <c r="H66" s="48">
        <f>F66*G66/60</f>
        <v>0.5</v>
      </c>
      <c r="I66" s="49">
        <f>SUM(K66:V66)</f>
        <v>1</v>
      </c>
      <c r="V66" s="47">
        <v>1</v>
      </c>
    </row>
    <row r="67" spans="1:22">
      <c r="A67" s="47" t="s">
        <v>230</v>
      </c>
      <c r="B67" s="68" t="s">
        <v>345</v>
      </c>
      <c r="C67" s="47" t="s">
        <v>311</v>
      </c>
      <c r="D67" s="67">
        <v>45270</v>
      </c>
      <c r="E67" s="75" t="s">
        <v>35</v>
      </c>
      <c r="F67" s="68">
        <v>1</v>
      </c>
      <c r="G67" s="69">
        <v>30</v>
      </c>
      <c r="H67" s="48">
        <f>F67*G67/60</f>
        <v>0.5</v>
      </c>
      <c r="I67" s="47">
        <v>0</v>
      </c>
    </row>
    <row r="68" spans="1:22">
      <c r="A68" s="47" t="s">
        <v>230</v>
      </c>
      <c r="B68" s="68" t="s">
        <v>374</v>
      </c>
      <c r="C68" s="47" t="s">
        <v>311</v>
      </c>
      <c r="D68" s="67">
        <v>45270</v>
      </c>
      <c r="E68" s="75" t="s">
        <v>375</v>
      </c>
      <c r="F68" s="68">
        <v>1</v>
      </c>
      <c r="G68" s="69">
        <v>30</v>
      </c>
      <c r="H68" s="48">
        <f>F68*G68/60</f>
        <v>0.5</v>
      </c>
      <c r="I68" s="47">
        <v>0</v>
      </c>
    </row>
    <row r="69" spans="1:22">
      <c r="B69" s="68"/>
      <c r="D69" s="67"/>
      <c r="E69" s="75"/>
      <c r="F69" s="68"/>
      <c r="G69" s="69"/>
      <c r="H69" s="48"/>
    </row>
  </sheetData>
  <sortState xmlns:xlrd2="http://schemas.microsoft.com/office/spreadsheetml/2017/richdata2" ref="A48:AE68">
    <sortCondition ref="A48:A68"/>
  </sortState>
  <phoneticPr fontId="8" type="noConversion"/>
  <conditionalFormatting sqref="A1">
    <cfRule type="duplicateValues" dxfId="1" priority="5"/>
  </conditionalFormatting>
  <conditionalFormatting sqref="B37:B69">
    <cfRule type="duplicateValues" dxfId="0" priority="10"/>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9B4F2-E791-4D8C-BDB0-0EDE7B5251A4}">
  <dimension ref="A1:W65"/>
  <sheetViews>
    <sheetView tabSelected="1" zoomScale="85" zoomScaleNormal="85" workbookViewId="0">
      <pane xSplit="5" ySplit="3" topLeftCell="F10" activePane="bottomRight" state="frozen"/>
      <selection pane="topRight" activeCell="I1" sqref="I1"/>
      <selection pane="bottomLeft" activeCell="A5" sqref="A5"/>
      <selection pane="bottomRight" activeCell="D13" sqref="D13"/>
    </sheetView>
  </sheetViews>
  <sheetFormatPr defaultRowHeight="14.4"/>
  <cols>
    <col min="1" max="1" width="12.109375" style="47" customWidth="1"/>
    <col min="2" max="2" width="12.44140625" style="47" customWidth="1"/>
    <col min="3" max="4" width="9" style="47" customWidth="1"/>
    <col min="5" max="5" width="20.88671875" style="47" customWidth="1"/>
    <col min="6" max="6" width="14.33203125" style="47" customWidth="1"/>
    <col min="7" max="7" width="10" style="47" customWidth="1"/>
    <col min="8" max="8" width="12.21875" style="47" customWidth="1"/>
    <col min="9" max="9" width="8.44140625" style="47" customWidth="1"/>
    <col min="10" max="10" width="10.44140625" style="47" customWidth="1"/>
    <col min="11" max="11" width="10.77734375" style="47" customWidth="1"/>
    <col min="12" max="12" width="10.21875" style="47" customWidth="1"/>
    <col min="13" max="14" width="8.88671875" style="47"/>
    <col min="15" max="15" width="10.88671875" style="47" customWidth="1"/>
    <col min="16" max="16" width="11.44140625" style="47" customWidth="1"/>
    <col min="17" max="17" width="8.88671875" style="47"/>
    <col min="18" max="18" width="11.21875" style="47" customWidth="1"/>
    <col min="19" max="19" width="15.88671875" style="47" customWidth="1"/>
    <col min="20" max="22" width="8.88671875" style="47"/>
    <col min="23" max="23" width="11.21875" style="47" customWidth="1"/>
    <col min="24" max="16384" width="8.88671875" style="47"/>
  </cols>
  <sheetData>
    <row r="1" spans="1:23">
      <c r="A1" s="86" t="s">
        <v>103</v>
      </c>
      <c r="B1" s="86"/>
      <c r="C1" s="86"/>
      <c r="D1" s="86"/>
      <c r="E1" s="86"/>
      <c r="F1" s="86"/>
      <c r="G1" s="86"/>
      <c r="H1" s="86"/>
      <c r="I1" s="86"/>
      <c r="J1" s="86"/>
      <c r="K1" s="86"/>
      <c r="L1" s="87"/>
      <c r="M1" s="86"/>
      <c r="N1" s="86"/>
      <c r="O1" s="86"/>
      <c r="P1" s="86"/>
      <c r="Q1" s="86"/>
      <c r="R1" s="86"/>
      <c r="S1" s="86"/>
      <c r="T1" s="88"/>
      <c r="U1" s="88"/>
      <c r="V1" s="86"/>
      <c r="W1" s="86"/>
    </row>
    <row r="2" spans="1:23" s="50" customFormat="1" ht="15.6">
      <c r="A2" s="53" t="s">
        <v>104</v>
      </c>
      <c r="B2" s="86"/>
      <c r="C2" s="89"/>
      <c r="D2" s="89"/>
      <c r="E2" s="86"/>
      <c r="F2" s="86"/>
      <c r="G2" s="86"/>
      <c r="H2" s="86"/>
      <c r="I2" s="86"/>
      <c r="J2" s="86"/>
      <c r="K2" s="86"/>
      <c r="L2" s="86"/>
      <c r="M2" s="86"/>
      <c r="N2" s="86"/>
      <c r="O2" s="86"/>
      <c r="P2" s="86"/>
      <c r="Q2" s="86"/>
      <c r="R2" s="86"/>
      <c r="S2" s="86"/>
      <c r="T2" s="86"/>
      <c r="U2" s="86"/>
      <c r="V2" s="86"/>
      <c r="W2" s="86"/>
    </row>
    <row r="3" spans="1:23">
      <c r="A3" s="86" t="s">
        <v>400</v>
      </c>
      <c r="B3" s="86" t="s">
        <v>403</v>
      </c>
      <c r="C3" s="86" t="s">
        <v>105</v>
      </c>
      <c r="D3" s="86" t="s">
        <v>307</v>
      </c>
      <c r="E3" s="86" t="s">
        <v>106</v>
      </c>
      <c r="F3" s="86" t="s">
        <v>107</v>
      </c>
      <c r="G3" s="86" t="s">
        <v>396</v>
      </c>
      <c r="H3" s="86" t="s">
        <v>397</v>
      </c>
      <c r="I3" s="86" t="s">
        <v>196</v>
      </c>
      <c r="J3" s="86" t="s">
        <v>8</v>
      </c>
      <c r="K3" s="86" t="s">
        <v>398</v>
      </c>
      <c r="L3" s="86" t="s">
        <v>108</v>
      </c>
      <c r="M3" s="86" t="s">
        <v>109</v>
      </c>
      <c r="N3" s="86" t="s">
        <v>110</v>
      </c>
      <c r="O3" s="86" t="s">
        <v>349</v>
      </c>
      <c r="P3" s="86" t="s">
        <v>384</v>
      </c>
      <c r="Q3" s="86" t="s">
        <v>111</v>
      </c>
      <c r="R3" s="86" t="s">
        <v>112</v>
      </c>
      <c r="S3" s="86" t="s">
        <v>114</v>
      </c>
      <c r="T3" s="86" t="s">
        <v>172</v>
      </c>
      <c r="U3" s="86" t="s">
        <v>399</v>
      </c>
      <c r="V3" s="86" t="s">
        <v>181</v>
      </c>
      <c r="W3" s="86" t="s">
        <v>113</v>
      </c>
    </row>
    <row r="4" spans="1:23">
      <c r="A4" s="86" t="s">
        <v>327</v>
      </c>
      <c r="B4" s="90">
        <v>44158</v>
      </c>
      <c r="C4" s="86" t="s">
        <v>314</v>
      </c>
      <c r="D4" s="86" t="s">
        <v>308</v>
      </c>
      <c r="E4" s="86" t="s">
        <v>122</v>
      </c>
      <c r="F4" s="86">
        <v>26.75</v>
      </c>
      <c r="G4" s="86">
        <v>25.75</v>
      </c>
      <c r="H4" s="86"/>
      <c r="I4" s="86"/>
      <c r="J4" s="86">
        <f>SUM(K4:U4)</f>
        <v>18</v>
      </c>
      <c r="K4" s="86">
        <v>0</v>
      </c>
      <c r="L4" s="86">
        <v>18</v>
      </c>
      <c r="M4" s="86"/>
      <c r="N4" s="86"/>
      <c r="O4" s="86"/>
      <c r="P4" s="86"/>
      <c r="Q4" s="86"/>
      <c r="R4" s="86"/>
      <c r="S4" s="86"/>
      <c r="T4" s="86"/>
      <c r="U4" s="86"/>
      <c r="V4" s="86"/>
      <c r="W4" s="86"/>
    </row>
    <row r="5" spans="1:23">
      <c r="A5" s="86" t="s">
        <v>328</v>
      </c>
      <c r="B5" s="90">
        <v>44168</v>
      </c>
      <c r="C5" s="86" t="s">
        <v>314</v>
      </c>
      <c r="D5" s="86" t="s">
        <v>308</v>
      </c>
      <c r="E5" s="86"/>
      <c r="F5" s="86">
        <v>5</v>
      </c>
      <c r="G5" s="86">
        <v>5</v>
      </c>
      <c r="H5" s="86"/>
      <c r="I5" s="86"/>
      <c r="J5" s="86">
        <f>SUM(K5:U5)</f>
        <v>0</v>
      </c>
      <c r="K5" s="86">
        <v>0</v>
      </c>
      <c r="L5" s="86">
        <v>0</v>
      </c>
      <c r="M5" s="86"/>
      <c r="N5" s="86"/>
      <c r="O5" s="86"/>
      <c r="P5" s="86"/>
      <c r="Q5" s="86"/>
      <c r="R5" s="86"/>
      <c r="S5" s="86"/>
      <c r="T5" s="86"/>
      <c r="U5" s="86"/>
      <c r="V5" s="86"/>
      <c r="W5" s="86"/>
    </row>
    <row r="6" spans="1:23">
      <c r="A6" s="86" t="s">
        <v>134</v>
      </c>
      <c r="B6" s="90">
        <v>44186</v>
      </c>
      <c r="C6" s="86" t="s">
        <v>314</v>
      </c>
      <c r="D6" s="86" t="s">
        <v>308</v>
      </c>
      <c r="E6" s="86" t="s">
        <v>135</v>
      </c>
      <c r="F6" s="86">
        <v>5.5</v>
      </c>
      <c r="G6" s="86">
        <v>1</v>
      </c>
      <c r="H6" s="86">
        <v>4.5</v>
      </c>
      <c r="I6" s="86"/>
      <c r="J6" s="86">
        <f>SUM(K6:U6)</f>
        <v>1</v>
      </c>
      <c r="K6" s="86">
        <v>0</v>
      </c>
      <c r="L6" s="86">
        <v>0</v>
      </c>
      <c r="M6" s="86"/>
      <c r="N6" s="86"/>
      <c r="O6" s="86"/>
      <c r="P6" s="86"/>
      <c r="Q6" s="86">
        <v>1</v>
      </c>
      <c r="R6" s="86"/>
      <c r="S6" s="86"/>
      <c r="T6" s="86"/>
      <c r="U6" s="86"/>
      <c r="V6" s="86"/>
      <c r="W6" s="86">
        <v>1</v>
      </c>
    </row>
    <row r="7" spans="1:23">
      <c r="A7" s="86" t="s">
        <v>136</v>
      </c>
      <c r="B7" s="90">
        <v>44186</v>
      </c>
      <c r="C7" s="86" t="s">
        <v>314</v>
      </c>
      <c r="D7" s="86" t="s">
        <v>308</v>
      </c>
      <c r="E7" s="86" t="s">
        <v>137</v>
      </c>
      <c r="F7" s="86">
        <v>8</v>
      </c>
      <c r="G7" s="86">
        <v>1</v>
      </c>
      <c r="H7" s="86">
        <v>7.5</v>
      </c>
      <c r="I7" s="86"/>
      <c r="J7" s="86">
        <f>SUM(K7:U7)</f>
        <v>0</v>
      </c>
      <c r="K7" s="86"/>
      <c r="L7" s="86"/>
      <c r="M7" s="86"/>
      <c r="N7" s="86"/>
      <c r="O7" s="86"/>
      <c r="P7" s="86"/>
      <c r="Q7" s="86"/>
      <c r="R7" s="86"/>
      <c r="S7" s="86"/>
      <c r="T7" s="86"/>
      <c r="U7" s="86"/>
      <c r="V7" s="86"/>
      <c r="W7" s="86"/>
    </row>
    <row r="8" spans="1:23">
      <c r="A8" s="86" t="s">
        <v>117</v>
      </c>
      <c r="B8" s="90">
        <v>44192</v>
      </c>
      <c r="C8" s="86" t="s">
        <v>314</v>
      </c>
      <c r="D8" s="86" t="s">
        <v>308</v>
      </c>
      <c r="E8" s="86" t="s">
        <v>148</v>
      </c>
      <c r="F8" s="86">
        <v>8.5</v>
      </c>
      <c r="G8" s="86">
        <v>8.5</v>
      </c>
      <c r="H8" s="86"/>
      <c r="I8" s="86"/>
      <c r="J8" s="86">
        <f>SUM(K8:U8)</f>
        <v>0</v>
      </c>
      <c r="K8" s="86"/>
      <c r="L8" s="86"/>
      <c r="M8" s="86"/>
      <c r="N8" s="86"/>
      <c r="O8" s="86"/>
      <c r="P8" s="86"/>
      <c r="Q8" s="86"/>
      <c r="R8" s="86"/>
      <c r="S8" s="86"/>
      <c r="T8" s="86"/>
      <c r="U8" s="86"/>
      <c r="V8" s="86"/>
      <c r="W8" s="86"/>
    </row>
    <row r="9" spans="1:23">
      <c r="A9" s="86" t="s">
        <v>125</v>
      </c>
      <c r="B9" s="90">
        <v>44193</v>
      </c>
      <c r="C9" s="86" t="s">
        <v>314</v>
      </c>
      <c r="D9" s="86" t="s">
        <v>308</v>
      </c>
      <c r="E9" s="86" t="s">
        <v>126</v>
      </c>
      <c r="F9" s="86">
        <v>11.25</v>
      </c>
      <c r="G9" s="86">
        <f>F9-H9</f>
        <v>8</v>
      </c>
      <c r="H9" s="86">
        <v>3.25</v>
      </c>
      <c r="I9" s="86"/>
      <c r="J9" s="86">
        <f>SUM(K9:U9)</f>
        <v>0</v>
      </c>
      <c r="K9" s="86"/>
      <c r="L9" s="86"/>
      <c r="M9" s="86"/>
      <c r="N9" s="86"/>
      <c r="O9" s="86"/>
      <c r="P9" s="86"/>
      <c r="Q9" s="86" t="s">
        <v>127</v>
      </c>
      <c r="R9" s="86"/>
      <c r="S9" s="86"/>
      <c r="T9" s="86"/>
      <c r="U9" s="86"/>
      <c r="V9" s="86"/>
      <c r="W9" s="86"/>
    </row>
    <row r="10" spans="1:23">
      <c r="A10" s="86" t="s">
        <v>129</v>
      </c>
      <c r="B10" s="90">
        <v>44193</v>
      </c>
      <c r="C10" s="86" t="s">
        <v>314</v>
      </c>
      <c r="D10" s="86" t="s">
        <v>308</v>
      </c>
      <c r="E10" s="91" t="s">
        <v>130</v>
      </c>
      <c r="F10" s="86">
        <v>13.75</v>
      </c>
      <c r="G10" s="86">
        <f t="shared" ref="G10:G31" si="0">F10-H10</f>
        <v>10</v>
      </c>
      <c r="H10" s="86">
        <v>3.75</v>
      </c>
      <c r="I10" s="86"/>
      <c r="J10" s="86">
        <f>SUM(K10:U10)</f>
        <v>0</v>
      </c>
      <c r="K10" s="86"/>
      <c r="L10" s="86"/>
      <c r="M10" s="86"/>
      <c r="N10" s="86"/>
      <c r="O10" s="86"/>
      <c r="P10" s="86"/>
      <c r="Q10" s="86"/>
      <c r="R10" s="86"/>
      <c r="S10" s="86"/>
      <c r="T10" s="86"/>
      <c r="U10" s="86"/>
      <c r="V10" s="86"/>
      <c r="W10" s="86"/>
    </row>
    <row r="11" spans="1:23">
      <c r="A11" s="86" t="s">
        <v>131</v>
      </c>
      <c r="B11" s="90">
        <v>44193</v>
      </c>
      <c r="C11" s="86" t="s">
        <v>314</v>
      </c>
      <c r="D11" s="86" t="s">
        <v>308</v>
      </c>
      <c r="E11" s="86" t="s">
        <v>132</v>
      </c>
      <c r="F11" s="86">
        <v>8.75</v>
      </c>
      <c r="G11" s="86">
        <f t="shared" si="0"/>
        <v>6</v>
      </c>
      <c r="H11" s="86">
        <v>2.75</v>
      </c>
      <c r="I11" s="86"/>
      <c r="J11" s="86">
        <f>SUM(K11:U11)</f>
        <v>0</v>
      </c>
      <c r="K11" s="86"/>
      <c r="L11" s="86"/>
      <c r="M11" s="86"/>
      <c r="N11" s="86"/>
      <c r="O11" s="86"/>
      <c r="P11" s="86"/>
      <c r="Q11" s="86"/>
      <c r="R11" s="86"/>
      <c r="S11" s="86"/>
      <c r="T11" s="86"/>
      <c r="U11" s="86"/>
      <c r="V11" s="86"/>
      <c r="W11" s="86"/>
    </row>
    <row r="12" spans="1:23">
      <c r="A12" s="86" t="s">
        <v>118</v>
      </c>
      <c r="B12" s="90">
        <v>44193</v>
      </c>
      <c r="C12" s="86" t="s">
        <v>314</v>
      </c>
      <c r="D12" s="86" t="s">
        <v>308</v>
      </c>
      <c r="E12" s="91" t="s">
        <v>133</v>
      </c>
      <c r="F12" s="86">
        <v>19</v>
      </c>
      <c r="G12" s="86">
        <f t="shared" si="0"/>
        <v>9</v>
      </c>
      <c r="H12" s="86">
        <v>10</v>
      </c>
      <c r="I12" s="86"/>
      <c r="J12" s="86">
        <f>SUM(K12:U12)</f>
        <v>0</v>
      </c>
      <c r="K12" s="86"/>
      <c r="L12" s="86"/>
      <c r="M12" s="86"/>
      <c r="N12" s="86"/>
      <c r="O12" s="86"/>
      <c r="P12" s="86"/>
      <c r="Q12" s="86"/>
      <c r="R12" s="86"/>
      <c r="S12" s="86"/>
      <c r="T12" s="86"/>
      <c r="U12" s="86"/>
      <c r="V12" s="86"/>
      <c r="W12" s="86"/>
    </row>
    <row r="13" spans="1:23">
      <c r="A13" s="86" t="s">
        <v>138</v>
      </c>
      <c r="B13" s="90">
        <v>44193</v>
      </c>
      <c r="C13" s="86" t="s">
        <v>314</v>
      </c>
      <c r="D13" s="86" t="s">
        <v>308</v>
      </c>
      <c r="E13" s="86" t="s">
        <v>385</v>
      </c>
      <c r="F13" s="86">
        <v>5.25</v>
      </c>
      <c r="G13" s="86">
        <f t="shared" si="0"/>
        <v>5.25</v>
      </c>
      <c r="H13" s="86"/>
      <c r="I13" s="86"/>
      <c r="J13" s="86">
        <f>SUM(K13:U13)</f>
        <v>0</v>
      </c>
      <c r="K13" s="86"/>
      <c r="L13" s="86"/>
      <c r="M13" s="86"/>
      <c r="N13" s="86"/>
      <c r="O13" s="86"/>
      <c r="P13" s="86"/>
      <c r="Q13" s="86"/>
      <c r="R13" s="86"/>
      <c r="S13" s="86"/>
      <c r="T13" s="86"/>
      <c r="U13" s="86"/>
      <c r="V13" s="86"/>
      <c r="W13" s="86"/>
    </row>
    <row r="14" spans="1:23">
      <c r="A14" s="86" t="s">
        <v>139</v>
      </c>
      <c r="B14" s="90">
        <v>44196</v>
      </c>
      <c r="C14" s="86" t="s">
        <v>314</v>
      </c>
      <c r="D14" s="86" t="s">
        <v>308</v>
      </c>
      <c r="E14" s="86" t="s">
        <v>140</v>
      </c>
      <c r="F14" s="86">
        <v>22</v>
      </c>
      <c r="G14" s="86">
        <f t="shared" si="0"/>
        <v>12</v>
      </c>
      <c r="H14" s="86">
        <v>10</v>
      </c>
      <c r="I14" s="86"/>
      <c r="J14" s="86">
        <f>SUM(K14:U14)</f>
        <v>0</v>
      </c>
      <c r="K14" s="86"/>
      <c r="L14" s="86"/>
      <c r="M14" s="86"/>
      <c r="N14" s="86"/>
      <c r="O14" s="86"/>
      <c r="P14" s="86"/>
      <c r="Q14" s="86"/>
      <c r="R14" s="86"/>
      <c r="S14" s="86"/>
      <c r="T14" s="86"/>
      <c r="U14" s="86"/>
      <c r="V14" s="86"/>
      <c r="W14" s="86"/>
    </row>
    <row r="15" spans="1:23">
      <c r="A15" s="86" t="s">
        <v>123</v>
      </c>
      <c r="B15" s="90">
        <v>44201</v>
      </c>
      <c r="C15" s="86" t="s">
        <v>314</v>
      </c>
      <c r="D15" s="86" t="s">
        <v>308</v>
      </c>
      <c r="E15" s="86" t="s">
        <v>394</v>
      </c>
      <c r="F15" s="86">
        <v>24.5</v>
      </c>
      <c r="G15" s="86">
        <f t="shared" si="0"/>
        <v>14.5</v>
      </c>
      <c r="H15" s="86">
        <v>10</v>
      </c>
      <c r="I15" s="86"/>
      <c r="J15" s="86">
        <f>SUM(K15:U15)</f>
        <v>4</v>
      </c>
      <c r="K15" s="86"/>
      <c r="L15" s="86">
        <v>0</v>
      </c>
      <c r="M15" s="86"/>
      <c r="N15" s="86"/>
      <c r="O15" s="86"/>
      <c r="P15" s="86">
        <v>1</v>
      </c>
      <c r="Q15" s="86">
        <v>3</v>
      </c>
      <c r="R15" s="86"/>
      <c r="S15" s="86"/>
      <c r="T15" s="86"/>
      <c r="U15" s="86"/>
      <c r="V15" s="86"/>
      <c r="W15" s="86"/>
    </row>
    <row r="16" spans="1:23">
      <c r="A16" s="86" t="s">
        <v>128</v>
      </c>
      <c r="B16" s="90">
        <v>44201</v>
      </c>
      <c r="C16" s="86" t="s">
        <v>314</v>
      </c>
      <c r="D16" s="86" t="s">
        <v>308</v>
      </c>
      <c r="E16" s="86" t="s">
        <v>393</v>
      </c>
      <c r="F16" s="86">
        <v>26.5</v>
      </c>
      <c r="G16" s="86">
        <f t="shared" si="0"/>
        <v>16.5</v>
      </c>
      <c r="H16" s="86">
        <v>10</v>
      </c>
      <c r="I16" s="86"/>
      <c r="J16" s="86">
        <f>SUM(K16:U16)</f>
        <v>0</v>
      </c>
      <c r="K16" s="86"/>
      <c r="L16" s="86"/>
      <c r="M16" s="86"/>
      <c r="N16" s="86"/>
      <c r="O16" s="86"/>
      <c r="P16" s="86"/>
      <c r="Q16" s="86"/>
      <c r="R16" s="86"/>
      <c r="S16" s="86"/>
      <c r="T16" s="86"/>
      <c r="U16" s="86"/>
      <c r="V16" s="86"/>
      <c r="W16" s="86"/>
    </row>
    <row r="17" spans="1:23">
      <c r="A17" s="86" t="s">
        <v>150</v>
      </c>
      <c r="B17" s="90">
        <v>44201</v>
      </c>
      <c r="C17" s="86" t="s">
        <v>314</v>
      </c>
      <c r="D17" s="86" t="s">
        <v>308</v>
      </c>
      <c r="E17" s="86" t="s">
        <v>392</v>
      </c>
      <c r="F17" s="86">
        <v>28</v>
      </c>
      <c r="G17" s="86">
        <f t="shared" si="0"/>
        <v>12</v>
      </c>
      <c r="H17" s="86">
        <v>16</v>
      </c>
      <c r="I17" s="86"/>
      <c r="J17" s="86">
        <f>SUM(K17:U17)</f>
        <v>9</v>
      </c>
      <c r="K17" s="86"/>
      <c r="L17" s="86"/>
      <c r="M17" s="86"/>
      <c r="N17" s="86"/>
      <c r="O17" s="86"/>
      <c r="P17" s="86">
        <v>2</v>
      </c>
      <c r="Q17" s="86">
        <v>2</v>
      </c>
      <c r="R17" s="86">
        <v>5</v>
      </c>
      <c r="S17" s="86"/>
      <c r="T17" s="86"/>
      <c r="U17" s="86"/>
      <c r="V17" s="86"/>
      <c r="W17" s="86">
        <v>1</v>
      </c>
    </row>
    <row r="18" spans="1:23">
      <c r="A18" s="86" t="s">
        <v>119</v>
      </c>
      <c r="B18" s="90">
        <v>44202</v>
      </c>
      <c r="C18" s="86" t="s">
        <v>314</v>
      </c>
      <c r="D18" s="86" t="s">
        <v>308</v>
      </c>
      <c r="E18" s="87" t="s">
        <v>124</v>
      </c>
      <c r="F18" s="86">
        <v>7</v>
      </c>
      <c r="G18" s="86">
        <f t="shared" si="0"/>
        <v>0</v>
      </c>
      <c r="H18" s="86">
        <v>7</v>
      </c>
      <c r="I18" s="86"/>
      <c r="J18" s="86">
        <f>SUM(K18:U18)</f>
        <v>0</v>
      </c>
      <c r="K18" s="86"/>
      <c r="L18" s="86"/>
      <c r="M18" s="86"/>
      <c r="N18" s="86"/>
      <c r="O18" s="86"/>
      <c r="P18" s="86"/>
      <c r="Q18" s="86"/>
      <c r="R18" s="86"/>
      <c r="S18" s="86"/>
      <c r="T18" s="86"/>
      <c r="U18" s="86"/>
      <c r="V18" s="86"/>
      <c r="W18" s="86"/>
    </row>
    <row r="19" spans="1:23">
      <c r="A19" s="86" t="s">
        <v>141</v>
      </c>
      <c r="B19" s="90">
        <v>44202</v>
      </c>
      <c r="C19" s="86" t="s">
        <v>314</v>
      </c>
      <c r="D19" s="86" t="s">
        <v>308</v>
      </c>
      <c r="E19" s="86" t="s">
        <v>391</v>
      </c>
      <c r="F19" s="86">
        <v>46.5</v>
      </c>
      <c r="G19" s="86">
        <f t="shared" si="0"/>
        <v>26.5</v>
      </c>
      <c r="H19" s="86">
        <v>20</v>
      </c>
      <c r="I19" s="86"/>
      <c r="J19" s="86">
        <f>SUM(K19:U19)</f>
        <v>0</v>
      </c>
      <c r="K19" s="86"/>
      <c r="L19" s="86"/>
      <c r="M19" s="86"/>
      <c r="N19" s="86"/>
      <c r="O19" s="86"/>
      <c r="P19" s="86"/>
      <c r="Q19" s="86"/>
      <c r="R19" s="86"/>
      <c r="S19" s="86"/>
      <c r="T19" s="86"/>
      <c r="U19" s="86"/>
      <c r="V19" s="86"/>
      <c r="W19" s="86"/>
    </row>
    <row r="20" spans="1:23">
      <c r="A20" s="86" t="s">
        <v>142</v>
      </c>
      <c r="B20" s="90">
        <v>44202</v>
      </c>
      <c r="C20" s="86" t="s">
        <v>314</v>
      </c>
      <c r="D20" s="86" t="s">
        <v>308</v>
      </c>
      <c r="E20" s="86" t="s">
        <v>143</v>
      </c>
      <c r="F20" s="86">
        <v>15.5</v>
      </c>
      <c r="G20" s="86">
        <f t="shared" si="0"/>
        <v>7</v>
      </c>
      <c r="H20" s="86">
        <v>8.5</v>
      </c>
      <c r="I20" s="86"/>
      <c r="J20" s="86">
        <f>SUM(K20:U20)</f>
        <v>1</v>
      </c>
      <c r="K20" s="86"/>
      <c r="L20" s="86"/>
      <c r="M20" s="86"/>
      <c r="N20" s="86"/>
      <c r="O20" s="86"/>
      <c r="P20" s="86"/>
      <c r="Q20" s="86"/>
      <c r="R20" s="86">
        <v>1</v>
      </c>
      <c r="S20" s="86"/>
      <c r="T20" s="86"/>
      <c r="U20" s="86"/>
      <c r="V20" s="86"/>
      <c r="W20" s="86"/>
    </row>
    <row r="21" spans="1:23">
      <c r="A21" s="86" t="s">
        <v>120</v>
      </c>
      <c r="B21" s="90">
        <v>44202</v>
      </c>
      <c r="C21" s="86" t="s">
        <v>314</v>
      </c>
      <c r="D21" s="86" t="s">
        <v>308</v>
      </c>
      <c r="E21" s="87" t="s">
        <v>395</v>
      </c>
      <c r="F21" s="86">
        <v>157</v>
      </c>
      <c r="G21" s="86">
        <f t="shared" si="0"/>
        <v>87</v>
      </c>
      <c r="H21" s="86">
        <v>70</v>
      </c>
      <c r="I21" s="86"/>
      <c r="J21" s="86">
        <f>SUM(K21:U21)</f>
        <v>8</v>
      </c>
      <c r="K21" s="86"/>
      <c r="L21" s="86"/>
      <c r="M21" s="86"/>
      <c r="N21" s="86"/>
      <c r="O21" s="86"/>
      <c r="P21" s="86">
        <v>4</v>
      </c>
      <c r="Q21" s="86">
        <v>1</v>
      </c>
      <c r="R21" s="86">
        <v>3</v>
      </c>
      <c r="S21" s="86"/>
      <c r="T21" s="86"/>
      <c r="U21" s="86"/>
      <c r="V21" s="86"/>
      <c r="W21" s="86">
        <v>1</v>
      </c>
    </row>
    <row r="22" spans="1:23">
      <c r="A22" s="86" t="s">
        <v>121</v>
      </c>
      <c r="B22" s="90">
        <v>44207</v>
      </c>
      <c r="C22" s="86" t="s">
        <v>314</v>
      </c>
      <c r="D22" s="86" t="s">
        <v>308</v>
      </c>
      <c r="E22" s="87" t="s">
        <v>144</v>
      </c>
      <c r="F22" s="86">
        <v>8.5</v>
      </c>
      <c r="G22" s="86">
        <f t="shared" si="0"/>
        <v>0</v>
      </c>
      <c r="H22" s="86">
        <v>8.5</v>
      </c>
      <c r="I22" s="86"/>
      <c r="J22" s="86">
        <f>SUM(K22:U22)</f>
        <v>2</v>
      </c>
      <c r="K22" s="86"/>
      <c r="L22" s="86"/>
      <c r="M22" s="86"/>
      <c r="N22" s="86"/>
      <c r="O22" s="86"/>
      <c r="P22" s="86">
        <v>2</v>
      </c>
      <c r="Q22" s="86"/>
      <c r="R22" s="86"/>
      <c r="S22" s="86"/>
      <c r="T22" s="86"/>
      <c r="U22" s="86"/>
      <c r="V22" s="86"/>
      <c r="W22" s="86"/>
    </row>
    <row r="23" spans="1:23">
      <c r="A23" s="86" t="s">
        <v>115</v>
      </c>
      <c r="B23" s="90">
        <v>44207</v>
      </c>
      <c r="C23" s="86" t="s">
        <v>314</v>
      </c>
      <c r="D23" s="86" t="s">
        <v>308</v>
      </c>
      <c r="E23" s="87" t="s">
        <v>145</v>
      </c>
      <c r="F23" s="86">
        <v>17</v>
      </c>
      <c r="G23" s="86">
        <f t="shared" si="0"/>
        <v>7</v>
      </c>
      <c r="H23" s="86">
        <v>10</v>
      </c>
      <c r="I23" s="86"/>
      <c r="J23" s="86">
        <f>SUM(K23:U23)</f>
        <v>4</v>
      </c>
      <c r="K23" s="86">
        <v>0</v>
      </c>
      <c r="L23" s="86">
        <v>0</v>
      </c>
      <c r="M23" s="86">
        <v>1</v>
      </c>
      <c r="N23" s="86"/>
      <c r="O23" s="86"/>
      <c r="P23" s="86">
        <v>3</v>
      </c>
      <c r="Q23" s="86">
        <v>0</v>
      </c>
      <c r="R23" s="86"/>
      <c r="S23" s="86"/>
      <c r="T23" s="86"/>
      <c r="U23" s="86"/>
      <c r="V23" s="86"/>
      <c r="W23" s="86"/>
    </row>
    <row r="24" spans="1:23">
      <c r="A24" s="86" t="s">
        <v>118</v>
      </c>
      <c r="B24" s="90">
        <v>44208</v>
      </c>
      <c r="C24" s="86" t="s">
        <v>314</v>
      </c>
      <c r="D24" s="86" t="s">
        <v>308</v>
      </c>
      <c r="E24" s="87" t="s">
        <v>389</v>
      </c>
      <c r="F24" s="86">
        <v>62</v>
      </c>
      <c r="G24" s="86">
        <f t="shared" si="0"/>
        <v>30.5</v>
      </c>
      <c r="H24" s="86">
        <v>31.5</v>
      </c>
      <c r="I24" s="86"/>
      <c r="J24" s="86">
        <f>SUM(K24:U24)</f>
        <v>0</v>
      </c>
      <c r="K24" s="86"/>
      <c r="L24" s="86"/>
      <c r="M24" s="86"/>
      <c r="N24" s="86"/>
      <c r="O24" s="86"/>
      <c r="P24" s="86"/>
      <c r="Q24" s="86"/>
      <c r="R24" s="86"/>
      <c r="S24" s="86"/>
      <c r="T24" s="86"/>
      <c r="U24" s="86"/>
      <c r="V24" s="86"/>
      <c r="W24" s="86"/>
    </row>
    <row r="25" spans="1:23">
      <c r="A25" s="86" t="s">
        <v>116</v>
      </c>
      <c r="B25" s="90">
        <v>44208</v>
      </c>
      <c r="C25" s="86" t="s">
        <v>314</v>
      </c>
      <c r="D25" s="86" t="s">
        <v>308</v>
      </c>
      <c r="E25" s="87" t="s">
        <v>388</v>
      </c>
      <c r="F25" s="86">
        <v>44.5</v>
      </c>
      <c r="G25" s="86">
        <f t="shared" si="0"/>
        <v>26</v>
      </c>
      <c r="H25" s="86">
        <v>18.5</v>
      </c>
      <c r="I25" s="86"/>
      <c r="J25" s="86">
        <f>SUM(K25:U25)</f>
        <v>0</v>
      </c>
      <c r="K25" s="86"/>
      <c r="L25" s="86"/>
      <c r="M25" s="86"/>
      <c r="N25" s="86"/>
      <c r="O25" s="86"/>
      <c r="P25" s="86"/>
      <c r="Q25" s="86"/>
      <c r="R25" s="86"/>
      <c r="S25" s="86" t="s">
        <v>146</v>
      </c>
      <c r="T25" s="86"/>
      <c r="U25" s="86"/>
      <c r="V25" s="86"/>
      <c r="W25" s="86"/>
    </row>
    <row r="26" spans="1:23">
      <c r="A26" s="86" t="s">
        <v>147</v>
      </c>
      <c r="B26" s="90">
        <v>44208</v>
      </c>
      <c r="C26" s="86" t="s">
        <v>314</v>
      </c>
      <c r="D26" s="86" t="s">
        <v>308</v>
      </c>
      <c r="E26" s="87" t="s">
        <v>390</v>
      </c>
      <c r="F26" s="86">
        <v>83.5</v>
      </c>
      <c r="G26" s="86">
        <f t="shared" si="0"/>
        <v>53.5</v>
      </c>
      <c r="H26" s="86">
        <v>30</v>
      </c>
      <c r="I26" s="86"/>
      <c r="J26" s="86">
        <f>SUM(K26:U26)</f>
        <v>0</v>
      </c>
      <c r="K26" s="86"/>
      <c r="L26" s="86"/>
      <c r="M26" s="86"/>
      <c r="N26" s="86"/>
      <c r="O26" s="86"/>
      <c r="P26" s="86"/>
      <c r="Q26" s="86"/>
      <c r="R26" s="86"/>
      <c r="S26" s="86"/>
      <c r="T26" s="86"/>
      <c r="U26" s="86"/>
      <c r="V26" s="86"/>
      <c r="W26" s="86"/>
    </row>
    <row r="27" spans="1:23">
      <c r="A27" s="86" t="s">
        <v>357</v>
      </c>
      <c r="B27" s="90">
        <v>44223</v>
      </c>
      <c r="C27" s="86" t="s">
        <v>314</v>
      </c>
      <c r="D27" s="86" t="s">
        <v>308</v>
      </c>
      <c r="E27" s="87" t="s">
        <v>149</v>
      </c>
      <c r="F27" s="86">
        <v>12</v>
      </c>
      <c r="G27" s="86">
        <f t="shared" si="0"/>
        <v>8.75</v>
      </c>
      <c r="H27" s="86">
        <v>3.25</v>
      </c>
      <c r="I27" s="86"/>
      <c r="J27" s="86">
        <f>SUM(K27:U27)</f>
        <v>2</v>
      </c>
      <c r="K27" s="86"/>
      <c r="L27" s="86"/>
      <c r="M27" s="86"/>
      <c r="N27" s="86"/>
      <c r="O27" s="86"/>
      <c r="P27" s="86">
        <v>2</v>
      </c>
      <c r="Q27" s="86"/>
      <c r="R27" s="86"/>
      <c r="S27" s="86"/>
      <c r="T27" s="86"/>
      <c r="U27" s="86"/>
      <c r="V27" s="86"/>
      <c r="W27" s="86"/>
    </row>
    <row r="28" spans="1:23">
      <c r="A28" s="86" t="s">
        <v>151</v>
      </c>
      <c r="B28" s="90">
        <v>44585</v>
      </c>
      <c r="C28" s="86" t="s">
        <v>314</v>
      </c>
      <c r="D28" s="86" t="s">
        <v>308</v>
      </c>
      <c r="E28" s="87" t="s">
        <v>152</v>
      </c>
      <c r="F28" s="86">
        <v>26.25</v>
      </c>
      <c r="G28" s="86">
        <f t="shared" si="0"/>
        <v>16.25</v>
      </c>
      <c r="H28" s="86">
        <v>10</v>
      </c>
      <c r="I28" s="86"/>
      <c r="J28" s="86">
        <f>SUM(K28:U28)</f>
        <v>2</v>
      </c>
      <c r="K28" s="86">
        <v>1</v>
      </c>
      <c r="L28" s="86">
        <v>1</v>
      </c>
      <c r="M28" s="86">
        <v>0</v>
      </c>
      <c r="N28" s="86"/>
      <c r="O28" s="86"/>
      <c r="P28" s="86"/>
      <c r="Q28" s="86"/>
      <c r="R28" s="86"/>
      <c r="S28" s="86"/>
      <c r="T28" s="86"/>
      <c r="U28" s="86"/>
      <c r="V28" s="86"/>
      <c r="W28" s="86"/>
    </row>
    <row r="29" spans="1:23">
      <c r="A29" s="86" t="s">
        <v>153</v>
      </c>
      <c r="B29" s="90">
        <v>44585</v>
      </c>
      <c r="C29" s="86" t="s">
        <v>314</v>
      </c>
      <c r="D29" s="86" t="s">
        <v>308</v>
      </c>
      <c r="E29" s="87"/>
      <c r="F29" s="86">
        <v>15</v>
      </c>
      <c r="G29" s="86">
        <f t="shared" si="0"/>
        <v>5</v>
      </c>
      <c r="H29" s="86">
        <v>10</v>
      </c>
      <c r="I29" s="86"/>
      <c r="J29" s="86">
        <f>SUM(K29:U29)</f>
        <v>9</v>
      </c>
      <c r="K29" s="86">
        <v>0</v>
      </c>
      <c r="L29" s="86">
        <v>0</v>
      </c>
      <c r="M29" s="86">
        <v>0</v>
      </c>
      <c r="N29" s="86"/>
      <c r="O29" s="86"/>
      <c r="P29" s="86">
        <v>8</v>
      </c>
      <c r="Q29" s="86">
        <v>0</v>
      </c>
      <c r="R29" s="86">
        <v>1</v>
      </c>
      <c r="S29" s="86" t="s">
        <v>154</v>
      </c>
      <c r="T29" s="86"/>
      <c r="U29" s="86"/>
      <c r="V29" s="86"/>
      <c r="W29" s="86">
        <v>0</v>
      </c>
    </row>
    <row r="30" spans="1:23">
      <c r="A30" s="86" t="s">
        <v>155</v>
      </c>
      <c r="B30" s="90">
        <v>44592</v>
      </c>
      <c r="C30" s="86" t="s">
        <v>314</v>
      </c>
      <c r="D30" s="86" t="s">
        <v>308</v>
      </c>
      <c r="E30" s="87"/>
      <c r="F30" s="86">
        <v>70</v>
      </c>
      <c r="G30" s="86">
        <f t="shared" si="0"/>
        <v>40</v>
      </c>
      <c r="H30" s="86">
        <v>30</v>
      </c>
      <c r="I30" s="86"/>
      <c r="J30" s="86">
        <f>SUM(K30:U30)</f>
        <v>0</v>
      </c>
      <c r="K30" s="86"/>
      <c r="L30" s="86"/>
      <c r="M30" s="86"/>
      <c r="N30" s="86"/>
      <c r="O30" s="86"/>
      <c r="P30" s="86"/>
      <c r="Q30" s="86"/>
      <c r="R30" s="86"/>
      <c r="S30" s="86"/>
      <c r="T30" s="86"/>
      <c r="U30" s="86"/>
      <c r="V30" s="86"/>
      <c r="W30" s="86"/>
    </row>
    <row r="31" spans="1:23">
      <c r="A31" s="86" t="s">
        <v>156</v>
      </c>
      <c r="B31" s="90">
        <v>44592</v>
      </c>
      <c r="C31" s="86" t="s">
        <v>314</v>
      </c>
      <c r="D31" s="86" t="s">
        <v>308</v>
      </c>
      <c r="E31" s="87"/>
      <c r="F31" s="86">
        <v>11.25</v>
      </c>
      <c r="G31" s="86">
        <f t="shared" si="0"/>
        <v>9.25</v>
      </c>
      <c r="H31" s="86">
        <v>2</v>
      </c>
      <c r="I31" s="86"/>
      <c r="J31" s="86">
        <f>SUM(K31:U31)</f>
        <v>1</v>
      </c>
      <c r="K31" s="86">
        <v>0</v>
      </c>
      <c r="L31" s="86">
        <v>0</v>
      </c>
      <c r="M31" s="86">
        <v>0</v>
      </c>
      <c r="N31" s="86"/>
      <c r="O31" s="86"/>
      <c r="P31" s="86">
        <v>1</v>
      </c>
      <c r="Q31" s="86">
        <v>0</v>
      </c>
      <c r="R31" s="86">
        <v>0</v>
      </c>
      <c r="S31" s="86"/>
      <c r="T31" s="86"/>
      <c r="U31" s="86"/>
      <c r="V31" s="86"/>
      <c r="W31" s="86">
        <v>0</v>
      </c>
    </row>
    <row r="32" spans="1:23">
      <c r="A32" s="86" t="s">
        <v>189</v>
      </c>
      <c r="B32" s="90">
        <v>45626</v>
      </c>
      <c r="C32" s="86" t="s">
        <v>314</v>
      </c>
      <c r="D32" s="86" t="s">
        <v>308</v>
      </c>
      <c r="E32" s="86" t="s">
        <v>190</v>
      </c>
      <c r="F32" s="86">
        <f>24*4+3.5</f>
        <v>99.5</v>
      </c>
      <c r="G32" s="86">
        <f>F32-H32</f>
        <v>59.5</v>
      </c>
      <c r="H32" s="86">
        <v>40</v>
      </c>
      <c r="I32" s="86"/>
      <c r="J32" s="86">
        <f>SUM(K32:U32)</f>
        <v>0</v>
      </c>
      <c r="K32" s="86"/>
      <c r="L32" s="86"/>
      <c r="M32" s="86"/>
      <c r="N32" s="86"/>
      <c r="O32" s="86"/>
      <c r="P32" s="86"/>
      <c r="Q32" s="86"/>
      <c r="R32" s="86"/>
      <c r="S32" s="86"/>
      <c r="T32" s="86"/>
      <c r="U32" s="86"/>
      <c r="V32" s="86"/>
      <c r="W32" s="86"/>
    </row>
    <row r="33" spans="1:23">
      <c r="A33" s="86" t="s">
        <v>191</v>
      </c>
      <c r="B33" s="90">
        <v>45626</v>
      </c>
      <c r="C33" s="86" t="s">
        <v>314</v>
      </c>
      <c r="D33" s="86" t="s">
        <v>308</v>
      </c>
      <c r="E33" s="86" t="s">
        <v>192</v>
      </c>
      <c r="F33" s="86">
        <f>24+3</f>
        <v>27</v>
      </c>
      <c r="G33" s="86">
        <f t="shared" ref="G33:G53" si="1">F33-H33</f>
        <v>17</v>
      </c>
      <c r="H33" s="86">
        <v>10</v>
      </c>
      <c r="I33" s="86"/>
      <c r="J33" s="86">
        <f>SUM(K33:U33)</f>
        <v>0</v>
      </c>
      <c r="K33" s="86"/>
      <c r="L33" s="86"/>
      <c r="M33" s="86"/>
      <c r="N33" s="86"/>
      <c r="O33" s="86"/>
      <c r="P33" s="86"/>
      <c r="Q33" s="86"/>
      <c r="R33" s="86"/>
      <c r="S33" s="86"/>
      <c r="T33" s="86"/>
      <c r="U33" s="86"/>
      <c r="V33" s="86"/>
      <c r="W33" s="86"/>
    </row>
    <row r="34" spans="1:23">
      <c r="A34" s="86" t="s">
        <v>193</v>
      </c>
      <c r="B34" s="90">
        <v>45626</v>
      </c>
      <c r="C34" s="86" t="s">
        <v>314</v>
      </c>
      <c r="D34" s="86" t="s">
        <v>308</v>
      </c>
      <c r="E34" s="86" t="s">
        <v>386</v>
      </c>
      <c r="F34" s="86">
        <f>24-3</f>
        <v>21</v>
      </c>
      <c r="G34" s="86">
        <f t="shared" si="1"/>
        <v>11</v>
      </c>
      <c r="H34" s="86">
        <v>10</v>
      </c>
      <c r="I34" s="86"/>
      <c r="J34" s="86">
        <f>SUM(K34:U34)</f>
        <v>0</v>
      </c>
      <c r="K34" s="86"/>
      <c r="L34" s="86"/>
      <c r="M34" s="86"/>
      <c r="N34" s="86"/>
      <c r="O34" s="86"/>
      <c r="P34" s="86"/>
      <c r="Q34" s="86"/>
      <c r="R34" s="86"/>
      <c r="S34" s="86"/>
      <c r="T34" s="86"/>
      <c r="U34" s="86"/>
      <c r="V34" s="86"/>
      <c r="W34" s="86"/>
    </row>
    <row r="35" spans="1:23">
      <c r="A35" s="86" t="s">
        <v>194</v>
      </c>
      <c r="B35" s="90">
        <v>45628</v>
      </c>
      <c r="C35" s="86" t="s">
        <v>314</v>
      </c>
      <c r="D35" s="86" t="s">
        <v>308</v>
      </c>
      <c r="E35" s="86" t="s">
        <v>195</v>
      </c>
      <c r="F35" s="86">
        <f>3*24</f>
        <v>72</v>
      </c>
      <c r="G35" s="86">
        <f t="shared" si="1"/>
        <v>42</v>
      </c>
      <c r="H35" s="86">
        <v>30</v>
      </c>
      <c r="I35" s="86"/>
      <c r="J35" s="86">
        <f>SUM(K35:U35)</f>
        <v>0</v>
      </c>
      <c r="K35" s="86"/>
      <c r="L35" s="86"/>
      <c r="M35" s="86"/>
      <c r="N35" s="86"/>
      <c r="O35" s="86"/>
      <c r="P35" s="86"/>
      <c r="Q35" s="86"/>
      <c r="R35" s="86"/>
      <c r="S35" s="86"/>
      <c r="T35" s="86"/>
      <c r="U35" s="86"/>
      <c r="V35" s="86"/>
      <c r="W35" s="86"/>
    </row>
    <row r="36" spans="1:23">
      <c r="A36" s="86" t="s">
        <v>353</v>
      </c>
      <c r="B36" s="92">
        <v>45260</v>
      </c>
      <c r="C36" s="86" t="s">
        <v>311</v>
      </c>
      <c r="D36" s="86" t="s">
        <v>309</v>
      </c>
      <c r="E36" s="86" t="s">
        <v>354</v>
      </c>
      <c r="F36" s="86">
        <v>26.5</v>
      </c>
      <c r="G36" s="86">
        <f t="shared" si="1"/>
        <v>16.5</v>
      </c>
      <c r="H36" s="86">
        <v>10</v>
      </c>
      <c r="I36" s="86">
        <v>8689</v>
      </c>
      <c r="J36" s="86">
        <f>SUM(K36:U36)</f>
        <v>2</v>
      </c>
      <c r="K36" s="86"/>
      <c r="L36" s="86"/>
      <c r="M36" s="86"/>
      <c r="N36" s="86">
        <v>2</v>
      </c>
      <c r="O36" s="86"/>
      <c r="P36" s="86"/>
      <c r="Q36" s="86"/>
      <c r="R36" s="86"/>
      <c r="S36" s="86"/>
      <c r="T36" s="86"/>
      <c r="U36" s="86"/>
      <c r="V36" s="86"/>
      <c r="W36" s="86"/>
    </row>
    <row r="37" spans="1:23">
      <c r="A37" s="86" t="s">
        <v>355</v>
      </c>
      <c r="B37" s="92">
        <v>45260</v>
      </c>
      <c r="C37" s="86" t="s">
        <v>311</v>
      </c>
      <c r="D37" s="86" t="s">
        <v>309</v>
      </c>
      <c r="E37" s="86" t="s">
        <v>356</v>
      </c>
      <c r="F37" s="86">
        <v>21</v>
      </c>
      <c r="G37" s="86">
        <f t="shared" si="1"/>
        <v>11</v>
      </c>
      <c r="H37" s="86">
        <v>10</v>
      </c>
      <c r="I37" s="86">
        <v>6731</v>
      </c>
      <c r="J37" s="86">
        <f>SUM(K37:U37)</f>
        <v>6</v>
      </c>
      <c r="K37" s="86">
        <v>4</v>
      </c>
      <c r="L37" s="86"/>
      <c r="M37" s="86"/>
      <c r="N37" s="86">
        <v>1</v>
      </c>
      <c r="O37" s="86"/>
      <c r="P37" s="86"/>
      <c r="Q37" s="86"/>
      <c r="R37" s="86"/>
      <c r="S37" s="86"/>
      <c r="T37" s="86">
        <v>1</v>
      </c>
      <c r="U37" s="86"/>
      <c r="V37" s="86"/>
      <c r="W37" s="86"/>
    </row>
    <row r="38" spans="1:23">
      <c r="A38" s="86" t="s">
        <v>151</v>
      </c>
      <c r="B38" s="92">
        <v>45261</v>
      </c>
      <c r="C38" s="86" t="s">
        <v>311</v>
      </c>
      <c r="D38" s="86" t="s">
        <v>309</v>
      </c>
      <c r="E38" s="86" t="s">
        <v>387</v>
      </c>
      <c r="F38" s="86">
        <v>26</v>
      </c>
      <c r="G38" s="86">
        <f t="shared" si="1"/>
        <v>16</v>
      </c>
      <c r="H38" s="86">
        <v>10</v>
      </c>
      <c r="I38" s="86">
        <v>6335</v>
      </c>
      <c r="J38" s="86">
        <f>SUM(K38:U38)</f>
        <v>1</v>
      </c>
      <c r="K38" s="86"/>
      <c r="L38" s="86"/>
      <c r="M38" s="86"/>
      <c r="N38" s="86">
        <v>1</v>
      </c>
      <c r="O38" s="86"/>
      <c r="P38" s="86"/>
      <c r="Q38" s="86"/>
      <c r="R38" s="86"/>
      <c r="S38" s="86"/>
      <c r="T38" s="86"/>
      <c r="U38" s="86"/>
      <c r="V38" s="86"/>
      <c r="W38" s="86"/>
    </row>
    <row r="39" spans="1:23">
      <c r="A39" s="86" t="s">
        <v>204</v>
      </c>
      <c r="B39" s="92">
        <v>45260</v>
      </c>
      <c r="C39" s="86" t="s">
        <v>311</v>
      </c>
      <c r="D39" s="86" t="s">
        <v>309</v>
      </c>
      <c r="E39" s="86" t="s">
        <v>205</v>
      </c>
      <c r="F39" s="86">
        <f>24+2.75</f>
        <v>26.75</v>
      </c>
      <c r="G39" s="86">
        <f t="shared" si="1"/>
        <v>16.75</v>
      </c>
      <c r="H39" s="86">
        <v>10</v>
      </c>
      <c r="I39" s="86">
        <v>7700</v>
      </c>
      <c r="J39" s="86">
        <f>SUM(K39:U39)</f>
        <v>1</v>
      </c>
      <c r="K39" s="86">
        <v>1</v>
      </c>
      <c r="L39" s="86"/>
      <c r="M39" s="86"/>
      <c r="N39" s="86"/>
      <c r="O39" s="86"/>
      <c r="P39" s="86"/>
      <c r="Q39" s="86"/>
      <c r="R39" s="86"/>
      <c r="S39" s="86"/>
      <c r="T39" s="86"/>
      <c r="U39" s="86"/>
      <c r="V39" s="86"/>
      <c r="W39" s="86"/>
    </row>
    <row r="40" spans="1:23">
      <c r="A40" s="86" t="s">
        <v>211</v>
      </c>
      <c r="B40" s="92">
        <v>45263</v>
      </c>
      <c r="C40" s="86" t="s">
        <v>311</v>
      </c>
      <c r="D40" s="86" t="s">
        <v>309</v>
      </c>
      <c r="E40" s="86" t="s">
        <v>212</v>
      </c>
      <c r="F40" s="86">
        <f>24+8</f>
        <v>32</v>
      </c>
      <c r="G40" s="86">
        <f t="shared" si="1"/>
        <v>22</v>
      </c>
      <c r="H40" s="86">
        <v>10</v>
      </c>
      <c r="I40" s="86"/>
      <c r="J40" s="86">
        <f>SUM(K40:U40)</f>
        <v>74</v>
      </c>
      <c r="K40" s="86"/>
      <c r="L40" s="86"/>
      <c r="M40" s="86"/>
      <c r="N40" s="86">
        <v>74</v>
      </c>
      <c r="O40" s="86"/>
      <c r="P40" s="86"/>
      <c r="Q40" s="86"/>
      <c r="R40" s="86"/>
      <c r="S40" s="86"/>
      <c r="T40" s="86"/>
      <c r="U40" s="86"/>
      <c r="V40" s="86"/>
      <c r="W40" s="86"/>
    </row>
    <row r="41" spans="1:23">
      <c r="A41" s="86" t="s">
        <v>169</v>
      </c>
      <c r="B41" s="92">
        <v>45263</v>
      </c>
      <c r="C41" s="86" t="s">
        <v>312</v>
      </c>
      <c r="D41" s="86" t="s">
        <v>309</v>
      </c>
      <c r="E41" s="86" t="s">
        <v>171</v>
      </c>
      <c r="F41" s="86">
        <v>24.5</v>
      </c>
      <c r="G41" s="86">
        <f t="shared" si="1"/>
        <v>14.5</v>
      </c>
      <c r="H41" s="86">
        <v>10</v>
      </c>
      <c r="I41" s="86"/>
      <c r="J41" s="86">
        <f>SUM(K41:U41)</f>
        <v>22</v>
      </c>
      <c r="K41" s="86">
        <v>5</v>
      </c>
      <c r="L41" s="86"/>
      <c r="M41" s="86"/>
      <c r="N41" s="86">
        <v>16</v>
      </c>
      <c r="O41" s="86"/>
      <c r="P41" s="86">
        <v>1</v>
      </c>
      <c r="Q41" s="86"/>
      <c r="R41" s="86"/>
      <c r="S41" s="86"/>
      <c r="T41" s="86"/>
      <c r="U41" s="86"/>
      <c r="V41" s="86"/>
      <c r="W41" s="86"/>
    </row>
    <row r="42" spans="1:23">
      <c r="A42" s="86" t="s">
        <v>170</v>
      </c>
      <c r="B42" s="92">
        <v>45263</v>
      </c>
      <c r="C42" s="86" t="s">
        <v>312</v>
      </c>
      <c r="D42" s="86" t="s">
        <v>309</v>
      </c>
      <c r="E42" s="86" t="s">
        <v>174</v>
      </c>
      <c r="F42" s="86">
        <v>29</v>
      </c>
      <c r="G42" s="86">
        <f t="shared" si="1"/>
        <v>19</v>
      </c>
      <c r="H42" s="86">
        <v>10</v>
      </c>
      <c r="I42" s="86"/>
      <c r="J42" s="86">
        <f>SUM(K42:U42)</f>
        <v>124</v>
      </c>
      <c r="K42" s="86">
        <v>7</v>
      </c>
      <c r="L42" s="86"/>
      <c r="M42" s="86"/>
      <c r="N42" s="86">
        <v>109</v>
      </c>
      <c r="O42" s="86"/>
      <c r="P42" s="86">
        <v>7</v>
      </c>
      <c r="Q42" s="86"/>
      <c r="R42" s="86"/>
      <c r="S42" s="86" t="s">
        <v>173</v>
      </c>
      <c r="T42" s="86">
        <v>1</v>
      </c>
      <c r="U42" s="86"/>
      <c r="V42" s="86"/>
      <c r="W42" s="86"/>
    </row>
    <row r="43" spans="1:23">
      <c r="A43" s="86" t="s">
        <v>179</v>
      </c>
      <c r="B43" s="92">
        <v>45265</v>
      </c>
      <c r="C43" s="86" t="s">
        <v>312</v>
      </c>
      <c r="D43" s="86" t="s">
        <v>309</v>
      </c>
      <c r="E43" s="86" t="s">
        <v>180</v>
      </c>
      <c r="F43" s="86">
        <v>5.5</v>
      </c>
      <c r="G43" s="86">
        <f t="shared" si="1"/>
        <v>5.5</v>
      </c>
      <c r="H43" s="86">
        <v>0</v>
      </c>
      <c r="I43" s="86"/>
      <c r="J43" s="86">
        <f>SUM(K43:U43)</f>
        <v>11</v>
      </c>
      <c r="K43" s="86"/>
      <c r="L43" s="86"/>
      <c r="M43" s="86"/>
      <c r="N43" s="86"/>
      <c r="O43" s="86"/>
      <c r="P43" s="86"/>
      <c r="Q43" s="86"/>
      <c r="R43" s="86"/>
      <c r="S43" s="86"/>
      <c r="T43" s="86"/>
      <c r="U43" s="86">
        <v>11</v>
      </c>
      <c r="V43" s="86"/>
      <c r="W43" s="86"/>
    </row>
    <row r="44" spans="1:23">
      <c r="A44" s="86" t="s">
        <v>401</v>
      </c>
      <c r="B44" s="92">
        <v>45265</v>
      </c>
      <c r="C44" s="86" t="s">
        <v>312</v>
      </c>
      <c r="D44" s="86" t="s">
        <v>309</v>
      </c>
      <c r="E44" s="86" t="s">
        <v>203</v>
      </c>
      <c r="F44" s="86">
        <f>24*2+12.5</f>
        <v>60.5</v>
      </c>
      <c r="G44" s="86">
        <f t="shared" si="1"/>
        <v>38.75</v>
      </c>
      <c r="H44" s="86">
        <v>21.75</v>
      </c>
      <c r="I44" s="86">
        <v>15038</v>
      </c>
      <c r="J44" s="86">
        <f>SUM(K44:U44)</f>
        <v>16</v>
      </c>
      <c r="K44" s="86">
        <v>9</v>
      </c>
      <c r="L44" s="86"/>
      <c r="M44" s="86"/>
      <c r="N44" s="86">
        <v>4</v>
      </c>
      <c r="O44" s="86"/>
      <c r="P44" s="86">
        <v>3</v>
      </c>
      <c r="Q44" s="86"/>
      <c r="R44" s="86"/>
      <c r="S44" s="86"/>
      <c r="T44" s="86"/>
      <c r="U44" s="86"/>
      <c r="V44" s="86"/>
      <c r="W44" s="86"/>
    </row>
    <row r="45" spans="1:23">
      <c r="A45" s="86" t="s">
        <v>402</v>
      </c>
      <c r="B45" s="92">
        <v>45265</v>
      </c>
      <c r="C45" s="86" t="s">
        <v>312</v>
      </c>
      <c r="D45" s="86" t="s">
        <v>309</v>
      </c>
      <c r="E45" s="86" t="s">
        <v>206</v>
      </c>
      <c r="F45" s="86">
        <f>48-3</f>
        <v>45</v>
      </c>
      <c r="G45" s="86">
        <f t="shared" si="1"/>
        <v>25</v>
      </c>
      <c r="H45" s="86">
        <v>20</v>
      </c>
      <c r="I45" s="86">
        <v>10300</v>
      </c>
      <c r="J45" s="86">
        <f>SUM(K45:U45)</f>
        <v>34</v>
      </c>
      <c r="K45" s="86">
        <v>3</v>
      </c>
      <c r="L45" s="86"/>
      <c r="M45" s="86"/>
      <c r="N45" s="86">
        <v>22</v>
      </c>
      <c r="O45" s="86"/>
      <c r="P45" s="86">
        <v>9</v>
      </c>
      <c r="Q45" s="86"/>
      <c r="R45" s="86"/>
      <c r="S45" s="86" t="s">
        <v>182</v>
      </c>
      <c r="T45" s="86"/>
      <c r="U45" s="86"/>
      <c r="V45" s="86"/>
      <c r="W45" s="86"/>
    </row>
    <row r="46" spans="1:23">
      <c r="A46" s="86" t="s">
        <v>162</v>
      </c>
      <c r="B46" s="92">
        <v>45269</v>
      </c>
      <c r="C46" s="86" t="s">
        <v>312</v>
      </c>
      <c r="D46" s="86" t="s">
        <v>309</v>
      </c>
      <c r="E46" s="86" t="s">
        <v>163</v>
      </c>
      <c r="F46" s="86">
        <v>10</v>
      </c>
      <c r="G46" s="86">
        <f t="shared" si="1"/>
        <v>1.5</v>
      </c>
      <c r="H46" s="86">
        <v>8.5</v>
      </c>
      <c r="I46" s="86"/>
      <c r="J46" s="86">
        <f>SUM(K46:U46)</f>
        <v>18</v>
      </c>
      <c r="K46" s="86">
        <v>6</v>
      </c>
      <c r="L46" s="86"/>
      <c r="M46" s="86"/>
      <c r="N46" s="86"/>
      <c r="O46" s="86"/>
      <c r="P46" s="86">
        <v>7</v>
      </c>
      <c r="Q46" s="86">
        <v>2</v>
      </c>
      <c r="R46" s="86">
        <v>3</v>
      </c>
      <c r="S46" s="86"/>
      <c r="T46" s="86"/>
      <c r="U46" s="86"/>
      <c r="V46" s="86"/>
      <c r="W46" s="86"/>
    </row>
    <row r="47" spans="1:23">
      <c r="A47" s="86" t="s">
        <v>166</v>
      </c>
      <c r="B47" s="92">
        <v>45269</v>
      </c>
      <c r="C47" s="86" t="s">
        <v>312</v>
      </c>
      <c r="D47" s="86" t="s">
        <v>309</v>
      </c>
      <c r="E47" s="86" t="s">
        <v>167</v>
      </c>
      <c r="F47" s="86">
        <v>36.5</v>
      </c>
      <c r="G47" s="86">
        <f t="shared" si="1"/>
        <v>26.5</v>
      </c>
      <c r="H47" s="86">
        <v>10</v>
      </c>
      <c r="I47" s="86"/>
      <c r="J47" s="86">
        <f>SUM(K47:U47)</f>
        <v>32</v>
      </c>
      <c r="K47" s="86">
        <v>24</v>
      </c>
      <c r="L47" s="86"/>
      <c r="M47" s="86"/>
      <c r="N47" s="86">
        <v>6</v>
      </c>
      <c r="O47" s="86"/>
      <c r="P47" s="86">
        <v>2</v>
      </c>
      <c r="Q47" s="86"/>
      <c r="R47" s="86"/>
      <c r="S47" s="86"/>
      <c r="T47" s="86"/>
      <c r="U47" s="86"/>
      <c r="V47" s="86"/>
      <c r="W47" s="86"/>
    </row>
    <row r="48" spans="1:23">
      <c r="A48" s="86" t="s">
        <v>198</v>
      </c>
      <c r="B48" s="92">
        <v>45269</v>
      </c>
      <c r="C48" s="86" t="s">
        <v>312</v>
      </c>
      <c r="D48" s="86" t="s">
        <v>309</v>
      </c>
      <c r="E48" s="86" t="s">
        <v>197</v>
      </c>
      <c r="F48" s="86">
        <f>24*2--12.5</f>
        <v>60.5</v>
      </c>
      <c r="G48" s="86">
        <f t="shared" si="1"/>
        <v>42</v>
      </c>
      <c r="H48" s="86">
        <v>18.5</v>
      </c>
      <c r="I48" s="86">
        <v>5562</v>
      </c>
      <c r="J48" s="86">
        <f>SUM(K48:U48)</f>
        <v>1</v>
      </c>
      <c r="K48" s="86"/>
      <c r="L48" s="86"/>
      <c r="M48" s="86"/>
      <c r="N48" s="86"/>
      <c r="O48" s="86"/>
      <c r="P48" s="86"/>
      <c r="Q48" s="86"/>
      <c r="R48" s="86"/>
      <c r="S48" s="86"/>
      <c r="T48" s="86"/>
      <c r="U48" s="86">
        <v>1</v>
      </c>
      <c r="V48" s="86"/>
      <c r="W48" s="86"/>
    </row>
    <row r="49" spans="1:23">
      <c r="A49" s="86" t="s">
        <v>164</v>
      </c>
      <c r="B49" s="92">
        <v>45269</v>
      </c>
      <c r="C49" s="86" t="s">
        <v>312</v>
      </c>
      <c r="D49" s="86" t="s">
        <v>309</v>
      </c>
      <c r="E49" s="86" t="s">
        <v>165</v>
      </c>
      <c r="F49" s="86">
        <v>39</v>
      </c>
      <c r="G49" s="86">
        <f t="shared" si="1"/>
        <v>19.5</v>
      </c>
      <c r="H49" s="86">
        <v>19.5</v>
      </c>
      <c r="I49" s="86"/>
      <c r="J49" s="86">
        <f>SUM(K49:U49)</f>
        <v>12</v>
      </c>
      <c r="K49" s="86"/>
      <c r="L49" s="86"/>
      <c r="M49" s="86"/>
      <c r="N49" s="86">
        <v>12</v>
      </c>
      <c r="O49" s="86"/>
      <c r="P49" s="86"/>
      <c r="Q49" s="86"/>
      <c r="R49" s="86"/>
      <c r="S49" s="86"/>
      <c r="T49" s="86"/>
      <c r="U49" s="86"/>
      <c r="V49" s="86"/>
      <c r="W49" s="86"/>
    </row>
    <row r="50" spans="1:23">
      <c r="A50" s="86" t="s">
        <v>157</v>
      </c>
      <c r="B50" s="92">
        <v>45269</v>
      </c>
      <c r="C50" s="86" t="s">
        <v>312</v>
      </c>
      <c r="D50" s="86" t="s">
        <v>309</v>
      </c>
      <c r="E50" s="86" t="s">
        <v>159</v>
      </c>
      <c r="F50" s="86">
        <f>24-7.25</f>
        <v>16.75</v>
      </c>
      <c r="G50" s="86">
        <f t="shared" si="1"/>
        <v>7.75</v>
      </c>
      <c r="H50" s="86">
        <v>9</v>
      </c>
      <c r="I50" s="86">
        <v>2400</v>
      </c>
      <c r="J50" s="86">
        <f>SUM(K50:U50)</f>
        <v>8</v>
      </c>
      <c r="K50" s="86">
        <v>7</v>
      </c>
      <c r="L50" s="86"/>
      <c r="M50" s="86"/>
      <c r="N50" s="86"/>
      <c r="O50" s="86"/>
      <c r="P50" s="86">
        <v>1</v>
      </c>
      <c r="Q50" s="86"/>
      <c r="R50" s="86"/>
      <c r="S50" s="86"/>
      <c r="T50" s="86"/>
      <c r="U50" s="86"/>
      <c r="V50" s="86"/>
      <c r="W50" s="86"/>
    </row>
    <row r="51" spans="1:23">
      <c r="A51" s="86" t="s">
        <v>201</v>
      </c>
      <c r="B51" s="92">
        <v>45270</v>
      </c>
      <c r="C51" s="86" t="s">
        <v>312</v>
      </c>
      <c r="D51" s="86" t="s">
        <v>309</v>
      </c>
      <c r="E51" s="86" t="s">
        <v>202</v>
      </c>
      <c r="F51" s="86">
        <f>22</f>
        <v>22</v>
      </c>
      <c r="G51" s="86">
        <f t="shared" si="1"/>
        <v>12</v>
      </c>
      <c r="H51" s="86">
        <v>10</v>
      </c>
      <c r="I51" s="86">
        <v>4949</v>
      </c>
      <c r="J51" s="86">
        <f>SUM(K51:U51)</f>
        <v>6</v>
      </c>
      <c r="K51" s="86">
        <v>5</v>
      </c>
      <c r="L51" s="86"/>
      <c r="M51" s="86"/>
      <c r="N51" s="86">
        <v>1</v>
      </c>
      <c r="O51" s="86"/>
      <c r="P51" s="86"/>
      <c r="Q51" s="86"/>
      <c r="R51" s="86"/>
      <c r="S51" s="86"/>
      <c r="T51" s="86"/>
      <c r="U51" s="86"/>
      <c r="V51" s="86"/>
      <c r="W51" s="86"/>
    </row>
    <row r="52" spans="1:23">
      <c r="A52" s="86" t="s">
        <v>189</v>
      </c>
      <c r="B52" s="92">
        <v>45631</v>
      </c>
      <c r="C52" s="86" t="s">
        <v>315</v>
      </c>
      <c r="D52" s="86" t="s">
        <v>309</v>
      </c>
      <c r="E52" s="86" t="s">
        <v>213</v>
      </c>
      <c r="F52" s="86">
        <f>24-6.25</f>
        <v>17.75</v>
      </c>
      <c r="G52" s="86">
        <f t="shared" si="1"/>
        <v>8.5</v>
      </c>
      <c r="H52" s="86">
        <v>9.25</v>
      </c>
      <c r="I52" s="86">
        <v>1500</v>
      </c>
      <c r="J52" s="86">
        <f>SUM(K52:U52)</f>
        <v>0</v>
      </c>
      <c r="K52" s="86"/>
      <c r="L52" s="86"/>
      <c r="M52" s="86"/>
      <c r="N52" s="86"/>
      <c r="O52" s="86"/>
      <c r="P52" s="86"/>
      <c r="Q52" s="86"/>
      <c r="R52" s="86"/>
      <c r="S52" s="86"/>
      <c r="T52" s="86"/>
      <c r="U52" s="86"/>
      <c r="V52" s="86"/>
      <c r="W52" s="86"/>
    </row>
    <row r="53" spans="1:23">
      <c r="A53" s="86" t="s">
        <v>191</v>
      </c>
      <c r="B53" s="92">
        <v>45631</v>
      </c>
      <c r="C53" s="86" t="s">
        <v>315</v>
      </c>
      <c r="D53" s="86" t="s">
        <v>309</v>
      </c>
      <c r="E53" s="86" t="s">
        <v>214</v>
      </c>
      <c r="F53" s="86">
        <f>24+10.75</f>
        <v>34.75</v>
      </c>
      <c r="G53" s="86">
        <f t="shared" si="1"/>
        <v>15.75</v>
      </c>
      <c r="H53" s="86">
        <v>19</v>
      </c>
      <c r="I53" s="86">
        <v>5603</v>
      </c>
      <c r="J53" s="86">
        <f>SUM(K53:U53)</f>
        <v>2</v>
      </c>
      <c r="K53" s="86"/>
      <c r="L53" s="86"/>
      <c r="M53" s="86"/>
      <c r="N53" s="86"/>
      <c r="O53" s="86"/>
      <c r="P53" s="86"/>
      <c r="Q53" s="86">
        <v>2</v>
      </c>
      <c r="R53" s="86"/>
      <c r="S53" s="86"/>
      <c r="T53" s="86"/>
      <c r="U53" s="86"/>
      <c r="V53" s="86"/>
      <c r="W53" s="86"/>
    </row>
    <row r="54" spans="1:23">
      <c r="A54" s="86" t="s">
        <v>187</v>
      </c>
      <c r="B54" s="92">
        <v>44870</v>
      </c>
      <c r="C54" s="86" t="s">
        <v>158</v>
      </c>
      <c r="D54" s="86" t="s">
        <v>309</v>
      </c>
      <c r="E54" s="86" t="s">
        <v>380</v>
      </c>
      <c r="F54" s="86">
        <v>10.25</v>
      </c>
      <c r="G54" s="86">
        <f>F54-H54</f>
        <v>1.25</v>
      </c>
      <c r="H54" s="86">
        <v>9</v>
      </c>
      <c r="I54" s="86">
        <v>1699</v>
      </c>
      <c r="J54" s="86">
        <v>5</v>
      </c>
      <c r="K54" s="86">
        <v>1</v>
      </c>
      <c r="L54" s="86"/>
      <c r="M54" s="86"/>
      <c r="N54" s="86"/>
      <c r="O54" s="86"/>
      <c r="P54" s="86">
        <v>4</v>
      </c>
      <c r="Q54" s="86"/>
      <c r="R54" s="86"/>
      <c r="S54" s="86"/>
      <c r="T54" s="86"/>
      <c r="U54" s="86"/>
      <c r="V54" s="86"/>
      <c r="W54" s="86"/>
    </row>
    <row r="55" spans="1:23">
      <c r="A55" s="86" t="s">
        <v>177</v>
      </c>
      <c r="B55" s="92">
        <v>44870</v>
      </c>
      <c r="C55" s="86" t="s">
        <v>158</v>
      </c>
      <c r="D55" s="86" t="s">
        <v>309</v>
      </c>
      <c r="E55" s="87" t="s">
        <v>178</v>
      </c>
      <c r="F55" s="86">
        <v>23</v>
      </c>
      <c r="G55" s="86">
        <f>F55-H55</f>
        <v>13</v>
      </c>
      <c r="H55" s="86">
        <v>10</v>
      </c>
      <c r="I55" s="86"/>
      <c r="J55" s="86">
        <f>SUM(K55:U55)</f>
        <v>5</v>
      </c>
      <c r="K55" s="86">
        <v>2</v>
      </c>
      <c r="L55" s="86"/>
      <c r="M55" s="86"/>
      <c r="N55" s="86"/>
      <c r="O55" s="86"/>
      <c r="P55" s="86"/>
      <c r="Q55" s="86">
        <v>2</v>
      </c>
      <c r="R55" s="86">
        <v>1</v>
      </c>
      <c r="S55" s="86"/>
      <c r="T55" s="86"/>
      <c r="U55" s="86"/>
      <c r="V55" s="86"/>
      <c r="W55" s="86"/>
    </row>
    <row r="56" spans="1:23">
      <c r="A56" s="86" t="s">
        <v>160</v>
      </c>
      <c r="B56" s="92">
        <v>45258</v>
      </c>
      <c r="C56" s="86" t="s">
        <v>158</v>
      </c>
      <c r="D56" s="86" t="s">
        <v>309</v>
      </c>
      <c r="E56" s="86" t="s">
        <v>161</v>
      </c>
      <c r="F56" s="86">
        <v>24.25</v>
      </c>
      <c r="G56" s="86">
        <f>F56-H56</f>
        <v>14.25</v>
      </c>
      <c r="H56" s="86">
        <v>10</v>
      </c>
      <c r="I56" s="86"/>
      <c r="J56" s="86">
        <f>SUM(K56:U56)</f>
        <v>1</v>
      </c>
      <c r="K56" s="86"/>
      <c r="L56" s="86"/>
      <c r="M56" s="86"/>
      <c r="N56" s="86">
        <v>1</v>
      </c>
      <c r="O56" s="86"/>
      <c r="P56" s="86"/>
      <c r="Q56" s="86"/>
      <c r="R56" s="86"/>
      <c r="S56" s="86"/>
      <c r="T56" s="86"/>
      <c r="U56" s="86"/>
      <c r="V56" s="86"/>
      <c r="W56" s="86"/>
    </row>
    <row r="57" spans="1:23">
      <c r="A57" s="86" t="s">
        <v>176</v>
      </c>
      <c r="B57" s="92">
        <v>45258</v>
      </c>
      <c r="C57" s="86" t="s">
        <v>158</v>
      </c>
      <c r="D57" s="86" t="s">
        <v>309</v>
      </c>
      <c r="E57" s="86" t="s">
        <v>175</v>
      </c>
      <c r="F57" s="86">
        <f>48-2.25</f>
        <v>45.75</v>
      </c>
      <c r="G57" s="86">
        <f t="shared" ref="G57:G65" si="2">F57-H57</f>
        <v>27</v>
      </c>
      <c r="H57" s="86">
        <v>18.75</v>
      </c>
      <c r="I57" s="86"/>
      <c r="J57" s="86">
        <f>SUM(K57:U57)</f>
        <v>9</v>
      </c>
      <c r="K57" s="86">
        <v>1</v>
      </c>
      <c r="L57" s="86"/>
      <c r="M57" s="86">
        <v>1</v>
      </c>
      <c r="N57" s="86">
        <v>7</v>
      </c>
      <c r="O57" s="86"/>
      <c r="P57" s="86"/>
      <c r="Q57" s="86"/>
      <c r="R57" s="86"/>
      <c r="S57" s="86"/>
      <c r="T57" s="86"/>
      <c r="U57" s="86"/>
      <c r="V57" s="86"/>
      <c r="W57" s="86"/>
    </row>
    <row r="58" spans="1:23">
      <c r="A58" s="86" t="s">
        <v>183</v>
      </c>
      <c r="B58" s="92">
        <v>45258</v>
      </c>
      <c r="C58" s="86" t="s">
        <v>158</v>
      </c>
      <c r="D58" s="86" t="s">
        <v>309</v>
      </c>
      <c r="E58" s="86" t="s">
        <v>184</v>
      </c>
      <c r="F58" s="86">
        <f>48-8.25</f>
        <v>39.75</v>
      </c>
      <c r="G58" s="86">
        <f t="shared" si="2"/>
        <v>19.75</v>
      </c>
      <c r="H58" s="86">
        <v>20</v>
      </c>
      <c r="I58" s="86"/>
      <c r="J58" s="86">
        <f>SUM(K58:U58)</f>
        <v>12</v>
      </c>
      <c r="K58" s="86">
        <v>4</v>
      </c>
      <c r="L58" s="86"/>
      <c r="M58" s="86"/>
      <c r="N58" s="86">
        <v>8</v>
      </c>
      <c r="O58" s="86"/>
      <c r="P58" s="86"/>
      <c r="Q58" s="86"/>
      <c r="R58" s="86"/>
      <c r="S58" s="86"/>
      <c r="T58" s="86"/>
      <c r="U58" s="86"/>
      <c r="V58" s="86"/>
      <c r="W58" s="86"/>
    </row>
    <row r="59" spans="1:23">
      <c r="A59" s="86" t="s">
        <v>185</v>
      </c>
      <c r="B59" s="92">
        <v>45258</v>
      </c>
      <c r="C59" s="86" t="s">
        <v>158</v>
      </c>
      <c r="D59" s="86" t="s">
        <v>309</v>
      </c>
      <c r="E59" s="86" t="s">
        <v>186</v>
      </c>
      <c r="F59" s="86">
        <f>48-8</f>
        <v>40</v>
      </c>
      <c r="G59" s="86">
        <f t="shared" si="2"/>
        <v>20</v>
      </c>
      <c r="H59" s="86">
        <v>20</v>
      </c>
      <c r="I59" s="86"/>
      <c r="J59" s="86">
        <f>SUM(K59:U59)</f>
        <v>1</v>
      </c>
      <c r="K59" s="86"/>
      <c r="L59" s="86"/>
      <c r="M59" s="86"/>
      <c r="N59" s="86">
        <v>1</v>
      </c>
      <c r="O59" s="86"/>
      <c r="P59" s="86"/>
      <c r="Q59" s="86"/>
      <c r="R59" s="86"/>
      <c r="S59" s="86"/>
      <c r="T59" s="86"/>
      <c r="U59" s="86"/>
      <c r="V59" s="86"/>
      <c r="W59" s="86"/>
    </row>
    <row r="60" spans="1:23">
      <c r="A60" s="86" t="s">
        <v>207</v>
      </c>
      <c r="B60" s="92">
        <v>45258</v>
      </c>
      <c r="C60" s="86" t="s">
        <v>158</v>
      </c>
      <c r="D60" s="86" t="s">
        <v>309</v>
      </c>
      <c r="E60" s="86" t="s">
        <v>208</v>
      </c>
      <c r="F60" s="86">
        <f>48.25</f>
        <v>48.25</v>
      </c>
      <c r="G60" s="86">
        <f t="shared" si="2"/>
        <v>28.25</v>
      </c>
      <c r="H60" s="86">
        <v>20</v>
      </c>
      <c r="I60" s="86"/>
      <c r="J60" s="86">
        <f>SUM(K60:U60)</f>
        <v>10</v>
      </c>
      <c r="K60" s="86">
        <v>1</v>
      </c>
      <c r="L60" s="86"/>
      <c r="M60" s="86"/>
      <c r="N60" s="86">
        <v>9</v>
      </c>
      <c r="O60" s="86"/>
      <c r="P60" s="86"/>
      <c r="Q60" s="86"/>
      <c r="R60" s="86"/>
      <c r="S60" s="86"/>
      <c r="T60" s="86"/>
      <c r="U60" s="86"/>
      <c r="V60" s="86"/>
      <c r="W60" s="86"/>
    </row>
    <row r="61" spans="1:23">
      <c r="A61" s="86" t="s">
        <v>348</v>
      </c>
      <c r="B61" s="92">
        <v>45258</v>
      </c>
      <c r="C61" s="86" t="s">
        <v>158</v>
      </c>
      <c r="D61" s="86" t="s">
        <v>309</v>
      </c>
      <c r="E61" s="86" t="s">
        <v>351</v>
      </c>
      <c r="F61" s="86">
        <v>50</v>
      </c>
      <c r="G61" s="86">
        <f t="shared" si="2"/>
        <v>30</v>
      </c>
      <c r="H61" s="86">
        <v>20</v>
      </c>
      <c r="I61" s="86"/>
      <c r="J61" s="86">
        <f>SUM(K61:U61)</f>
        <v>2</v>
      </c>
      <c r="K61" s="86"/>
      <c r="L61" s="86"/>
      <c r="M61" s="86"/>
      <c r="N61" s="86">
        <v>1</v>
      </c>
      <c r="O61" s="86">
        <v>1</v>
      </c>
      <c r="P61" s="86"/>
      <c r="Q61" s="86"/>
      <c r="R61" s="86"/>
      <c r="S61" s="86"/>
      <c r="T61" s="86"/>
      <c r="U61" s="86"/>
      <c r="V61" s="86"/>
      <c r="W61" s="86"/>
    </row>
    <row r="62" spans="1:23">
      <c r="A62" s="86" t="s">
        <v>209</v>
      </c>
      <c r="B62" s="92">
        <v>45258</v>
      </c>
      <c r="C62" s="86" t="s">
        <v>158</v>
      </c>
      <c r="D62" s="86" t="s">
        <v>309</v>
      </c>
      <c r="E62" s="86" t="s">
        <v>210</v>
      </c>
      <c r="F62" s="86">
        <f>24+9.75</f>
        <v>33.75</v>
      </c>
      <c r="G62" s="86">
        <f t="shared" si="2"/>
        <v>23.75</v>
      </c>
      <c r="H62" s="86">
        <v>10</v>
      </c>
      <c r="I62" s="86">
        <v>9790</v>
      </c>
      <c r="J62" s="86">
        <f>SUM(K62:U62)</f>
        <v>29</v>
      </c>
      <c r="K62" s="86">
        <v>2</v>
      </c>
      <c r="L62" s="86"/>
      <c r="M62" s="86"/>
      <c r="N62" s="86">
        <v>27</v>
      </c>
      <c r="O62" s="86"/>
      <c r="P62" s="86"/>
      <c r="Q62" s="86"/>
      <c r="R62" s="86"/>
      <c r="S62" s="86" t="s">
        <v>182</v>
      </c>
      <c r="T62" s="86"/>
      <c r="U62" s="86"/>
      <c r="V62" s="86"/>
      <c r="W62" s="86"/>
    </row>
    <row r="63" spans="1:23">
      <c r="A63" s="86" t="s">
        <v>199</v>
      </c>
      <c r="B63" s="92">
        <v>45259</v>
      </c>
      <c r="C63" s="86" t="s">
        <v>158</v>
      </c>
      <c r="D63" s="86" t="s">
        <v>309</v>
      </c>
      <c r="E63" s="86" t="s">
        <v>200</v>
      </c>
      <c r="F63" s="86">
        <f>7.5+2*24+2.5</f>
        <v>58</v>
      </c>
      <c r="G63" s="86">
        <f t="shared" si="2"/>
        <v>45.5</v>
      </c>
      <c r="H63" s="86">
        <v>12.5</v>
      </c>
      <c r="I63" s="86">
        <v>8650</v>
      </c>
      <c r="J63" s="86">
        <f>SUM(K63:U63)</f>
        <v>17</v>
      </c>
      <c r="K63" s="86"/>
      <c r="L63" s="86"/>
      <c r="M63" s="86"/>
      <c r="N63" s="86">
        <v>17</v>
      </c>
      <c r="O63" s="86"/>
      <c r="P63" s="86"/>
      <c r="Q63" s="86"/>
      <c r="R63" s="86"/>
      <c r="S63" s="86"/>
      <c r="T63" s="86"/>
      <c r="U63" s="86"/>
      <c r="V63" s="86"/>
      <c r="W63" s="86"/>
    </row>
    <row r="64" spans="1:23">
      <c r="A64" s="86" t="s">
        <v>187</v>
      </c>
      <c r="B64" s="92">
        <v>45260</v>
      </c>
      <c r="C64" s="86" t="s">
        <v>158</v>
      </c>
      <c r="D64" s="86" t="s">
        <v>309</v>
      </c>
      <c r="E64" s="86" t="s">
        <v>188</v>
      </c>
      <c r="F64" s="86">
        <v>6.25</v>
      </c>
      <c r="G64" s="86">
        <f t="shared" si="2"/>
        <v>6.25</v>
      </c>
      <c r="H64" s="86">
        <v>0</v>
      </c>
      <c r="I64" s="86"/>
      <c r="J64" s="86">
        <f>SUM(K64:U64)</f>
        <v>2</v>
      </c>
      <c r="K64" s="86"/>
      <c r="L64" s="86"/>
      <c r="M64" s="86">
        <v>1</v>
      </c>
      <c r="N64" s="86">
        <v>1</v>
      </c>
      <c r="O64" s="86"/>
      <c r="P64" s="86"/>
      <c r="Q64" s="86"/>
      <c r="R64" s="86"/>
      <c r="S64" s="86"/>
      <c r="T64" s="86"/>
      <c r="U64" s="86"/>
      <c r="V64" s="86"/>
      <c r="W64" s="86"/>
    </row>
    <row r="65" spans="1:23">
      <c r="A65" s="86" t="s">
        <v>350</v>
      </c>
      <c r="B65" s="92">
        <v>45260</v>
      </c>
      <c r="C65" s="86" t="s">
        <v>158</v>
      </c>
      <c r="D65" s="86" t="s">
        <v>309</v>
      </c>
      <c r="E65" s="86" t="s">
        <v>352</v>
      </c>
      <c r="F65" s="86">
        <v>10.5</v>
      </c>
      <c r="G65" s="86">
        <f t="shared" si="2"/>
        <v>8.5</v>
      </c>
      <c r="H65" s="86">
        <v>2</v>
      </c>
      <c r="I65" s="86">
        <v>5398</v>
      </c>
      <c r="J65" s="86">
        <f>SUM(K65:U65)</f>
        <v>5</v>
      </c>
      <c r="K65" s="86"/>
      <c r="L65" s="86"/>
      <c r="M65" s="86"/>
      <c r="N65" s="86">
        <v>5</v>
      </c>
      <c r="O65" s="86"/>
      <c r="P65" s="86"/>
      <c r="Q65" s="86"/>
      <c r="R65" s="86"/>
      <c r="S65" s="86" t="s">
        <v>182</v>
      </c>
      <c r="T65" s="86"/>
      <c r="U65" s="86"/>
      <c r="V65" s="86"/>
      <c r="W65" s="86">
        <v>1</v>
      </c>
    </row>
  </sheetData>
  <sortState xmlns:xlrd2="http://schemas.microsoft.com/office/spreadsheetml/2017/richdata2" ref="A4:CA53">
    <sortCondition ref="C36:C53"/>
  </sortState>
  <phoneticPr fontId="8" type="noConversion"/>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93CA515B8BF34F9DC73ED938EC2019" ma:contentTypeVersion="17" ma:contentTypeDescription="Create a new document." ma:contentTypeScope="" ma:versionID="ed87f5d528ff49281e236bb4b05bcc2f">
  <xsd:schema xmlns:xsd="http://www.w3.org/2001/XMLSchema" xmlns:xs="http://www.w3.org/2001/XMLSchema" xmlns:p="http://schemas.microsoft.com/office/2006/metadata/properties" xmlns:ns3="97d92b8d-df53-41ea-bdb7-b686775800c5" xmlns:ns4="0d48052c-407e-460e-8550-b951ae531ed2" targetNamespace="http://schemas.microsoft.com/office/2006/metadata/properties" ma:root="true" ma:fieldsID="4f363d9b90a328bdae3f9d0bb96b8610" ns3:_="" ns4:_="">
    <xsd:import namespace="97d92b8d-df53-41ea-bdb7-b686775800c5"/>
    <xsd:import namespace="0d48052c-407e-460e-8550-b951ae531ed2"/>
    <xsd:element name="properties">
      <xsd:complexType>
        <xsd:sequence>
          <xsd:element name="documentManagement">
            <xsd:complexType>
              <xsd:all>
                <xsd:element ref="ns3:MediaServiceMetadata" minOccurs="0"/>
                <xsd:element ref="ns3:MediaServiceFastMetadata" minOccurs="0"/>
                <xsd:element ref="ns3:MediaServiceAutoTags" minOccurs="0"/>
                <xsd:element ref="ns4:SharedWithUsers" minOccurs="0"/>
                <xsd:element ref="ns4:SharedWithDetails" minOccurs="0"/>
                <xsd:element ref="ns4:SharingHintHash" minOccurs="0"/>
                <xsd:element ref="ns3:MediaServiceDateTaken" minOccurs="0"/>
                <xsd:element ref="ns3:MediaServiceAutoKeyPoints" minOccurs="0"/>
                <xsd:element ref="ns3:MediaServiceKeyPoints" minOccurs="0"/>
                <xsd:element ref="ns3:MediaServiceGenerationTime" minOccurs="0"/>
                <xsd:element ref="ns3:MediaServiceEventHashCode" minOccurs="0"/>
                <xsd:element ref="ns3:MediaServiceOCR" minOccurs="0"/>
                <xsd:element ref="ns3:MediaServiceLocation" minOccurs="0"/>
                <xsd:element ref="ns3:MediaLengthInSeconds" minOccurs="0"/>
                <xsd:element ref="ns3:_activity" minOccurs="0"/>
                <xsd:element ref="ns3:MediaServiceObjectDetectorVersion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7d92b8d-df53-41ea-bdb7-b686775800c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ystemTags" ma:index="24"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d48052c-407e-460e-8550-b951ae531ed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SharingHintHash" ma:index="13"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97d92b8d-df53-41ea-bdb7-b686775800c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73C6542-29AD-441A-9A20-66D502B003B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7d92b8d-df53-41ea-bdb7-b686775800c5"/>
    <ds:schemaRef ds:uri="0d48052c-407e-460e-8550-b951ae531e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83A9083-1950-42B4-969F-8FF593F22885}">
  <ds:schemaRefs>
    <ds:schemaRef ds:uri="97d92b8d-df53-41ea-bdb7-b686775800c5"/>
    <ds:schemaRef ds:uri="http://schemas.openxmlformats.org/package/2006/metadata/core-properties"/>
    <ds:schemaRef ds:uri="http://purl.org/dc/elements/1.1/"/>
    <ds:schemaRef ds:uri="http://schemas.microsoft.com/office/2006/metadata/properties"/>
    <ds:schemaRef ds:uri="http://schemas.microsoft.com/office/infopath/2007/PartnerControls"/>
    <ds:schemaRef ds:uri="http://purl.org/dc/terms/"/>
    <ds:schemaRef ds:uri="http://schemas.microsoft.com/office/2006/documentManagement/types"/>
    <ds:schemaRef ds:uri="0d48052c-407e-460e-8550-b951ae531ed2"/>
    <ds:schemaRef ds:uri="http://www.w3.org/XML/1998/namespace"/>
    <ds:schemaRef ds:uri="http://purl.org/dc/dcmitype/"/>
  </ds:schemaRefs>
</ds:datastoreItem>
</file>

<file path=customXml/itemProps3.xml><?xml version="1.0" encoding="utf-8"?>
<ds:datastoreItem xmlns:ds="http://schemas.openxmlformats.org/officeDocument/2006/customXml" ds:itemID="{05D551BB-1D4D-4F2F-B0DD-7133A6AF0FA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direct obs</vt:lpstr>
      <vt:lpstr>video surveys</vt:lpstr>
      <vt:lpstr>camera traps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Stan Wawrzyczek</dc:creator>
  <cp:keywords/>
  <dc:description/>
  <cp:lastModifiedBy>User</cp:lastModifiedBy>
  <cp:revision/>
  <dcterms:created xsi:type="dcterms:W3CDTF">2024-01-11T03:39:24Z</dcterms:created>
  <dcterms:modified xsi:type="dcterms:W3CDTF">2025-07-28T02:30:41Z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0x010100C493CA515B8BF34F9DC73ED938EC2019</vt:lpwstr>
  </property>
</Properties>
</file>